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 tabRatio="870"/>
  </bookViews>
  <sheets>
    <sheet name="目錄" sheetId="2" r:id="rId1"/>
    <sheet name="Cash_1100現金及約當現金" sheetId="4" r:id="rId2"/>
    <sheet name="Cash_活存明細表" sheetId="7" r:id="rId3"/>
    <sheet name="Cash_支存明細表" sheetId="8" r:id="rId4"/>
    <sheet name="Cash_庫存現金及零用金" sheetId="44" r:id="rId5"/>
    <sheet name="Cash_三個月內定存明細表" sheetId="6" r:id="rId6"/>
    <sheet name="Cash_三個月以上定存明細表" sheetId="9" r:id="rId7"/>
  </sheets>
  <functionGroups builtInGroupCount="18"/>
  <externalReferences>
    <externalReference r:id="rId8"/>
  </externalReferences>
  <definedNames>
    <definedName name="conn">目錄!$B$3</definedName>
    <definedName name="PlugAccount">目錄!$K$11</definedName>
    <definedName name="USD換算成NTD的平均匯率">目錄!$K$9</definedName>
    <definedName name="USD換算成NTD的期末匯率">目錄!$K$8</definedName>
    <definedName name="大表科目本位幣調整AJE">目錄!$K$3</definedName>
    <definedName name="大表科目本位幣調整后">目錄!$K$4</definedName>
    <definedName name="大表科目本位幣調整前">目錄!$K$2</definedName>
    <definedName name="關係人按交易幣種分類本位幣金額">目錄!$K$5</definedName>
    <definedName name="換算成USD的平均匯率">目錄!$K$7</definedName>
    <definedName name="換算成USD的期末匯率">目錄!$K$6</definedName>
  </definedNames>
  <calcPr calcId="162913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" i="2" l="1"/>
  <c r="M4" i="4" l="1"/>
  <c r="C4" i="4"/>
  <c r="C5" i="4"/>
  <c r="F47" i="4" l="1"/>
  <c r="G47" i="4"/>
  <c r="H47" i="4"/>
  <c r="M45" i="4" l="1"/>
  <c r="C45" i="4"/>
  <c r="P47" i="4" l="1"/>
  <c r="O47" i="4"/>
  <c r="M7" i="4"/>
  <c r="M42" i="4"/>
  <c r="M43" i="4"/>
  <c r="M44" i="4"/>
  <c r="M3" i="4"/>
  <c r="M6" i="4"/>
  <c r="M14" i="4"/>
  <c r="M24" i="4"/>
  <c r="M33" i="4"/>
  <c r="M34" i="4"/>
  <c r="M35" i="4"/>
  <c r="M36" i="4"/>
  <c r="M37" i="4"/>
  <c r="M39" i="4"/>
  <c r="M40" i="4"/>
  <c r="K9" i="2"/>
  <c r="K8" i="2"/>
  <c r="M5" i="4"/>
  <c r="M41" i="4"/>
  <c r="Q47" i="4" l="1"/>
  <c r="K11" i="2" l="1"/>
  <c r="K4" i="2" l="1"/>
  <c r="U4" i="4"/>
  <c r="U45" i="4"/>
  <c r="U5" i="4"/>
  <c r="K7" i="2" l="1"/>
  <c r="K6" i="2"/>
  <c r="K3" i="2" l="1"/>
  <c r="K2" i="2"/>
  <c r="J4" i="4"/>
  <c r="F4" i="4"/>
  <c r="G4" i="4"/>
  <c r="K5" i="4"/>
  <c r="I5" i="4"/>
  <c r="I4" i="4"/>
  <c r="H4" i="4"/>
  <c r="K3" i="4"/>
  <c r="F5" i="4"/>
  <c r="J5" i="4"/>
  <c r="G5" i="4"/>
  <c r="K4" i="4"/>
  <c r="H5" i="4"/>
  <c r="R4" i="4" l="1"/>
  <c r="R5" i="4"/>
  <c r="S5" i="4"/>
  <c r="Q4" i="4"/>
  <c r="O4" i="4"/>
  <c r="S4" i="4"/>
  <c r="O5" i="4"/>
  <c r="P4" i="4"/>
  <c r="P5" i="4"/>
  <c r="Q5" i="4"/>
  <c r="E3" i="4" l="1"/>
  <c r="U43" i="4"/>
  <c r="G27" i="4"/>
  <c r="H23" i="4"/>
  <c r="F3" i="4"/>
  <c r="H13" i="4"/>
  <c r="K25" i="4"/>
  <c r="J28" i="4"/>
  <c r="J20" i="4"/>
  <c r="H17" i="4"/>
  <c r="J18" i="4"/>
  <c r="I17" i="4"/>
  <c r="G24" i="4"/>
  <c r="G30" i="4"/>
  <c r="I39" i="4"/>
  <c r="H36" i="4"/>
  <c r="G6" i="4"/>
  <c r="J29" i="4"/>
  <c r="F40" i="4"/>
  <c r="F44" i="4"/>
  <c r="C29" i="4"/>
  <c r="I23" i="4"/>
  <c r="G43" i="4"/>
  <c r="F31" i="4"/>
  <c r="C32" i="4"/>
  <c r="K37" i="4"/>
  <c r="C13" i="4"/>
  <c r="K33" i="4"/>
  <c r="C44" i="4"/>
  <c r="K30" i="4"/>
  <c r="I44" i="4"/>
  <c r="M11" i="4"/>
  <c r="J44" i="4"/>
  <c r="F17" i="4"/>
  <c r="K15" i="4"/>
  <c r="H22" i="4"/>
  <c r="K16" i="4"/>
  <c r="M19" i="4"/>
  <c r="J3" i="4"/>
  <c r="M12" i="4"/>
  <c r="I6" i="4"/>
  <c r="G23" i="4"/>
  <c r="C15" i="4"/>
  <c r="U42" i="4"/>
  <c r="F38" i="4"/>
  <c r="I19" i="4"/>
  <c r="I15" i="4"/>
  <c r="U36" i="4"/>
  <c r="K17" i="4"/>
  <c r="H9" i="4"/>
  <c r="J12" i="4"/>
  <c r="I11" i="4"/>
  <c r="M16" i="4"/>
  <c r="K31" i="4"/>
  <c r="G26" i="4"/>
  <c r="G40" i="4"/>
  <c r="U39" i="4"/>
  <c r="M8" i="4"/>
  <c r="I20" i="4"/>
  <c r="C11" i="4"/>
  <c r="J30" i="4"/>
  <c r="F10" i="4"/>
  <c r="C34" i="4"/>
  <c r="K19" i="4"/>
  <c r="C10" i="4"/>
  <c r="U35" i="4"/>
  <c r="H11" i="4"/>
  <c r="I28" i="4"/>
  <c r="F30" i="4"/>
  <c r="I25" i="4"/>
  <c r="I12" i="4"/>
  <c r="C31" i="4"/>
  <c r="C30" i="4"/>
  <c r="K11" i="4"/>
  <c r="G13" i="4"/>
  <c r="H25" i="4"/>
  <c r="J35" i="4"/>
  <c r="H33" i="4"/>
  <c r="M9" i="4"/>
  <c r="G7" i="4"/>
  <c r="J34" i="4"/>
  <c r="I41" i="4"/>
  <c r="H35" i="4"/>
  <c r="G28" i="4"/>
  <c r="J33" i="4"/>
  <c r="I33" i="4"/>
  <c r="C39" i="4"/>
  <c r="I36" i="4"/>
  <c r="G17" i="4"/>
  <c r="F19" i="4"/>
  <c r="H15" i="4"/>
  <c r="G10" i="4"/>
  <c r="U40" i="4"/>
  <c r="J9" i="4"/>
  <c r="K24" i="4"/>
  <c r="G18" i="4"/>
  <c r="I24" i="4"/>
  <c r="I27" i="4"/>
  <c r="C27" i="4"/>
  <c r="J39" i="4"/>
  <c r="J36" i="4"/>
  <c r="I22" i="4"/>
  <c r="H8" i="4"/>
  <c r="G22" i="4"/>
  <c r="K23" i="4"/>
  <c r="J25" i="4"/>
  <c r="F11" i="4"/>
  <c r="C33" i="4"/>
  <c r="F28" i="4"/>
  <c r="F20" i="4"/>
  <c r="K28" i="4"/>
  <c r="I21" i="4"/>
  <c r="F18" i="4"/>
  <c r="J37" i="4"/>
  <c r="J23" i="4"/>
  <c r="C24" i="4"/>
  <c r="F16" i="4"/>
  <c r="K36" i="4"/>
  <c r="G36" i="4"/>
  <c r="C14" i="4"/>
  <c r="K14" i="4"/>
  <c r="F33" i="4"/>
  <c r="F34" i="4"/>
  <c r="F13" i="4"/>
  <c r="H31" i="4"/>
  <c r="H37" i="4"/>
  <c r="K40" i="4"/>
  <c r="G33" i="4"/>
  <c r="H39" i="4"/>
  <c r="G12" i="4"/>
  <c r="G45" i="4"/>
  <c r="I40" i="4"/>
  <c r="J45" i="4"/>
  <c r="F21" i="4"/>
  <c r="G20" i="4"/>
  <c r="H43" i="4"/>
  <c r="G19" i="4"/>
  <c r="K34" i="4"/>
  <c r="U24" i="4"/>
  <c r="K12" i="4"/>
  <c r="I9" i="4"/>
  <c r="M22" i="4"/>
  <c r="C26" i="4"/>
  <c r="K39" i="4"/>
  <c r="I3" i="4"/>
  <c r="K21" i="4"/>
  <c r="M31" i="4"/>
  <c r="H16" i="4"/>
  <c r="C40" i="4"/>
  <c r="G34" i="4"/>
  <c r="H34" i="4"/>
  <c r="F24" i="4"/>
  <c r="I29" i="4"/>
  <c r="K10" i="4"/>
  <c r="U7" i="4"/>
  <c r="H45" i="4"/>
  <c r="J42" i="4"/>
  <c r="M27" i="4"/>
  <c r="M28" i="4"/>
  <c r="C18" i="4"/>
  <c r="K42" i="4"/>
  <c r="F22" i="4"/>
  <c r="G29" i="4"/>
  <c r="H44" i="4"/>
  <c r="I14" i="4"/>
  <c r="C23" i="4"/>
  <c r="G14" i="4"/>
  <c r="J43" i="4"/>
  <c r="G8" i="4"/>
  <c r="I43" i="4"/>
  <c r="F42" i="4"/>
  <c r="C7" i="4"/>
  <c r="M32" i="4"/>
  <c r="G11" i="4"/>
  <c r="F29" i="4"/>
  <c r="F12" i="4"/>
  <c r="G15" i="4"/>
  <c r="K35" i="4"/>
  <c r="C21" i="4"/>
  <c r="K38" i="4"/>
  <c r="M29" i="4"/>
  <c r="H7" i="4"/>
  <c r="C9" i="4"/>
  <c r="K7" i="4"/>
  <c r="H19" i="4"/>
  <c r="C37" i="4"/>
  <c r="C3" i="4"/>
  <c r="J14" i="4"/>
  <c r="G31" i="4"/>
  <c r="G25" i="4"/>
  <c r="G37" i="4"/>
  <c r="F25" i="4"/>
  <c r="F27" i="4"/>
  <c r="K41" i="4"/>
  <c r="M10" i="4"/>
  <c r="H32" i="4"/>
  <c r="K43" i="4"/>
  <c r="I45" i="4"/>
  <c r="J13" i="4"/>
  <c r="K13" i="4"/>
  <c r="J27" i="4"/>
  <c r="I30" i="4"/>
  <c r="K27" i="4"/>
  <c r="H14" i="4"/>
  <c r="J31" i="4"/>
  <c r="H41" i="4"/>
  <c r="F41" i="4"/>
  <c r="C35" i="4"/>
  <c r="H3" i="4"/>
  <c r="J19" i="4"/>
  <c r="C19" i="4"/>
  <c r="J38" i="4"/>
  <c r="K45" i="4"/>
  <c r="H21" i="4"/>
  <c r="G35" i="4"/>
  <c r="K26" i="4"/>
  <c r="C20" i="4"/>
  <c r="J17" i="4"/>
  <c r="K22" i="4"/>
  <c r="J8" i="4"/>
  <c r="I32" i="4"/>
  <c r="E4" i="4"/>
  <c r="J21" i="4"/>
  <c r="G16" i="4"/>
  <c r="I13" i="4"/>
  <c r="F9" i="4"/>
  <c r="G39" i="4"/>
  <c r="M13" i="4"/>
  <c r="C38" i="4"/>
  <c r="K8" i="4"/>
  <c r="C16" i="4"/>
  <c r="C12" i="4"/>
  <c r="J32" i="4"/>
  <c r="J10" i="4"/>
  <c r="G9" i="4"/>
  <c r="J16" i="4"/>
  <c r="F35" i="4"/>
  <c r="F26" i="4"/>
  <c r="M21" i="4"/>
  <c r="F8" i="4"/>
  <c r="M25" i="4"/>
  <c r="J40" i="4"/>
  <c r="G44" i="4"/>
  <c r="J6" i="4"/>
  <c r="C43" i="4"/>
  <c r="K18" i="4"/>
  <c r="U44" i="4"/>
  <c r="I26" i="4"/>
  <c r="H30" i="4"/>
  <c r="M20" i="4"/>
  <c r="F23" i="4"/>
  <c r="K9" i="4"/>
  <c r="H27" i="4"/>
  <c r="H28" i="4"/>
  <c r="C6" i="4"/>
  <c r="I42" i="4"/>
  <c r="C41" i="4"/>
  <c r="H42" i="4"/>
  <c r="F6" i="4"/>
  <c r="C42" i="4"/>
  <c r="U34" i="4"/>
  <c r="I7" i="4"/>
  <c r="F45" i="4"/>
  <c r="H6" i="4"/>
  <c r="C28" i="4"/>
  <c r="C8" i="4"/>
  <c r="G41" i="4"/>
  <c r="M30" i="4"/>
  <c r="G38" i="4"/>
  <c r="I8" i="4"/>
  <c r="U37" i="4"/>
  <c r="I31" i="4"/>
  <c r="G32" i="4"/>
  <c r="H12" i="4"/>
  <c r="E5" i="4"/>
  <c r="H40" i="4"/>
  <c r="C22" i="4"/>
  <c r="J11" i="4"/>
  <c r="H38" i="4"/>
  <c r="I35" i="4"/>
  <c r="K29" i="4"/>
  <c r="U14" i="4"/>
  <c r="F37" i="4"/>
  <c r="I10" i="4"/>
  <c r="C36" i="4"/>
  <c r="G42" i="4"/>
  <c r="M38" i="4"/>
  <c r="I16" i="4"/>
  <c r="M15" i="4"/>
  <c r="K44" i="4"/>
  <c r="F39" i="4"/>
  <c r="J41" i="4"/>
  <c r="U6" i="4"/>
  <c r="F32" i="4"/>
  <c r="U3" i="4"/>
  <c r="J15" i="4"/>
  <c r="G21" i="4"/>
  <c r="K32" i="4"/>
  <c r="C25" i="4"/>
  <c r="I37" i="4"/>
  <c r="M26" i="4"/>
  <c r="J7" i="4"/>
  <c r="M18" i="4"/>
  <c r="K20" i="4"/>
  <c r="H29" i="4"/>
  <c r="M23" i="4"/>
  <c r="U41" i="4"/>
  <c r="U33" i="4"/>
  <c r="F14" i="4"/>
  <c r="H18" i="4"/>
  <c r="G3" i="4"/>
  <c r="F7" i="4"/>
  <c r="J24" i="4"/>
  <c r="H24" i="4"/>
  <c r="J22" i="4"/>
  <c r="M17" i="4"/>
  <c r="J26" i="4"/>
  <c r="C17" i="4"/>
  <c r="F15" i="4"/>
  <c r="F43" i="4"/>
  <c r="H20" i="4"/>
  <c r="I34" i="4"/>
  <c r="K6" i="4"/>
  <c r="I18" i="4"/>
  <c r="H26" i="4"/>
  <c r="I38" i="4"/>
  <c r="F36" i="4"/>
  <c r="H10" i="4"/>
  <c r="Q10" i="4" l="1"/>
  <c r="O36" i="4"/>
  <c r="R38" i="4"/>
  <c r="Q26" i="4"/>
  <c r="R18" i="4"/>
  <c r="K46" i="4"/>
  <c r="R34" i="4"/>
  <c r="Q20" i="4"/>
  <c r="O43" i="4"/>
  <c r="O15" i="4"/>
  <c r="S26" i="4"/>
  <c r="S22" i="4"/>
  <c r="Q24" i="4"/>
  <c r="S24" i="4"/>
  <c r="O7" i="4"/>
  <c r="P3" i="4"/>
  <c r="P46" i="4" s="1"/>
  <c r="P48" i="4" s="1"/>
  <c r="Q18" i="4"/>
  <c r="O14" i="4"/>
  <c r="Q29" i="4"/>
  <c r="S7" i="4"/>
  <c r="R37" i="4"/>
  <c r="P21" i="4"/>
  <c r="S15" i="4"/>
  <c r="U46" i="4"/>
  <c r="O32" i="4"/>
  <c r="S41" i="4"/>
  <c r="O39" i="4"/>
  <c r="R16" i="4"/>
  <c r="P42" i="4"/>
  <c r="R10" i="4"/>
  <c r="O37" i="4"/>
  <c r="R35" i="4"/>
  <c r="Q38" i="4"/>
  <c r="S11" i="4"/>
  <c r="Q40" i="4"/>
  <c r="N5" i="4"/>
  <c r="T5" i="4" s="1"/>
  <c r="V5" i="4" s="1"/>
  <c r="L5" i="4"/>
  <c r="Q12" i="4"/>
  <c r="P32" i="4"/>
  <c r="R31" i="4"/>
  <c r="R8" i="4"/>
  <c r="P38" i="4"/>
  <c r="P41" i="4"/>
  <c r="H46" i="4"/>
  <c r="H48" i="4" s="1"/>
  <c r="Q6" i="4"/>
  <c r="O45" i="4"/>
  <c r="R7" i="4"/>
  <c r="F46" i="4"/>
  <c r="F48" i="4" s="1"/>
  <c r="O6" i="4"/>
  <c r="Q42" i="4"/>
  <c r="R42" i="4"/>
  <c r="Q28" i="4"/>
  <c r="Q27" i="4"/>
  <c r="O23" i="4"/>
  <c r="Q30" i="4"/>
  <c r="R26" i="4"/>
  <c r="S6" i="4"/>
  <c r="J46" i="4"/>
  <c r="P44" i="4"/>
  <c r="S40" i="4"/>
  <c r="O8" i="4"/>
  <c r="O26" i="4"/>
  <c r="O35" i="4"/>
  <c r="S16" i="4"/>
  <c r="P9" i="4"/>
  <c r="S10" i="4"/>
  <c r="S32" i="4"/>
  <c r="P39" i="4"/>
  <c r="O9" i="4"/>
  <c r="R13" i="4"/>
  <c r="P16" i="4"/>
  <c r="S21" i="4"/>
  <c r="L4" i="4"/>
  <c r="N4" i="4"/>
  <c r="T4" i="4" s="1"/>
  <c r="V4" i="4" s="1"/>
  <c r="E46" i="4"/>
  <c r="R32" i="4"/>
  <c r="S8" i="4"/>
  <c r="S17" i="4"/>
  <c r="P35" i="4"/>
  <c r="Q21" i="4"/>
  <c r="S38" i="4"/>
  <c r="S19" i="4"/>
  <c r="Q3" i="4"/>
  <c r="Q46" i="4" s="1"/>
  <c r="Q48" i="4" s="1"/>
  <c r="O41" i="4"/>
  <c r="Q41" i="4"/>
  <c r="S31" i="4"/>
  <c r="Q14" i="4"/>
  <c r="R30" i="4"/>
  <c r="S27" i="4"/>
  <c r="S13" i="4"/>
  <c r="R45" i="4"/>
  <c r="Q32" i="4"/>
  <c r="O27" i="4"/>
  <c r="O25" i="4"/>
  <c r="P37" i="4"/>
  <c r="P25" i="4"/>
  <c r="P31" i="4"/>
  <c r="S14" i="4"/>
  <c r="Q19" i="4"/>
  <c r="Q7" i="4"/>
  <c r="P15" i="4"/>
  <c r="O12" i="4"/>
  <c r="O29" i="4"/>
  <c r="P11" i="4"/>
  <c r="O42" i="4"/>
  <c r="R43" i="4"/>
  <c r="P8" i="4"/>
  <c r="S43" i="4"/>
  <c r="P14" i="4"/>
  <c r="R14" i="4"/>
  <c r="Q44" i="4"/>
  <c r="P29" i="4"/>
  <c r="O22" i="4"/>
  <c r="S42" i="4"/>
  <c r="Q45" i="4"/>
  <c r="R29" i="4"/>
  <c r="O24" i="4"/>
  <c r="Q34" i="4"/>
  <c r="P34" i="4"/>
  <c r="Q16" i="4"/>
  <c r="R3" i="4"/>
  <c r="R46" i="4" s="1"/>
  <c r="R9" i="4"/>
  <c r="P19" i="4"/>
  <c r="Q43" i="4"/>
  <c r="P20" i="4"/>
  <c r="O21" i="4"/>
  <c r="S45" i="4"/>
  <c r="R40" i="4"/>
  <c r="P45" i="4"/>
  <c r="P12" i="4"/>
  <c r="Q39" i="4"/>
  <c r="P33" i="4"/>
  <c r="Q37" i="4"/>
  <c r="Q31" i="4"/>
  <c r="O13" i="4"/>
  <c r="O34" i="4"/>
  <c r="O33" i="4"/>
  <c r="P36" i="4"/>
  <c r="O16" i="4"/>
  <c r="S23" i="4"/>
  <c r="S37" i="4"/>
  <c r="O18" i="4"/>
  <c r="R21" i="4"/>
  <c r="O20" i="4"/>
  <c r="O28" i="4"/>
  <c r="O11" i="4"/>
  <c r="S25" i="4"/>
  <c r="P22" i="4"/>
  <c r="Q8" i="4"/>
  <c r="R22" i="4"/>
  <c r="S36" i="4"/>
  <c r="S39" i="4"/>
  <c r="R27" i="4"/>
  <c r="R24" i="4"/>
  <c r="P18" i="4"/>
  <c r="S9" i="4"/>
  <c r="P10" i="4"/>
  <c r="Q15" i="4"/>
  <c r="O19" i="4"/>
  <c r="P17" i="4"/>
  <c r="R36" i="4"/>
  <c r="R33" i="4"/>
  <c r="S33" i="4"/>
  <c r="P28" i="4"/>
  <c r="Q35" i="4"/>
  <c r="R41" i="4"/>
  <c r="S34" i="4"/>
  <c r="P7" i="4"/>
  <c r="Q33" i="4"/>
  <c r="S35" i="4"/>
  <c r="Q25" i="4"/>
  <c r="P13" i="4"/>
  <c r="R12" i="4"/>
  <c r="R25" i="4"/>
  <c r="O30" i="4"/>
  <c r="R28" i="4"/>
  <c r="Q11" i="4"/>
  <c r="O10" i="4"/>
  <c r="S30" i="4"/>
  <c r="R20" i="4"/>
  <c r="P40" i="4"/>
  <c r="P26" i="4"/>
  <c r="R11" i="4"/>
  <c r="S12" i="4"/>
  <c r="Q9" i="4"/>
  <c r="R15" i="4"/>
  <c r="R19" i="4"/>
  <c r="O38" i="4"/>
  <c r="P23" i="4"/>
  <c r="I46" i="4"/>
  <c r="R6" i="4"/>
  <c r="S3" i="4"/>
  <c r="S46" i="4" s="1"/>
  <c r="Q22" i="4"/>
  <c r="O17" i="4"/>
  <c r="S44" i="4"/>
  <c r="R44" i="4"/>
  <c r="O31" i="4"/>
  <c r="P43" i="4"/>
  <c r="R23" i="4"/>
  <c r="O44" i="4"/>
  <c r="O40" i="4"/>
  <c r="S29" i="4"/>
  <c r="P6" i="4"/>
  <c r="G46" i="4"/>
  <c r="G48" i="4" s="1"/>
  <c r="Q36" i="4"/>
  <c r="R39" i="4"/>
  <c r="P30" i="4"/>
  <c r="P24" i="4"/>
  <c r="R17" i="4"/>
  <c r="S18" i="4"/>
  <c r="Q17" i="4"/>
  <c r="S20" i="4"/>
  <c r="S28" i="4"/>
  <c r="Q13" i="4"/>
  <c r="O3" i="4"/>
  <c r="O46" i="4" s="1"/>
  <c r="O48" i="4" s="1"/>
  <c r="Q23" i="4"/>
  <c r="P27" i="4"/>
  <c r="N3" i="4"/>
  <c r="L3" i="4"/>
  <c r="U17" i="4"/>
  <c r="U23" i="4"/>
  <c r="E8" i="4"/>
  <c r="E22" i="4"/>
  <c r="E13" i="4"/>
  <c r="U29" i="4"/>
  <c r="U31" i="4"/>
  <c r="U22" i="4"/>
  <c r="E14" i="4"/>
  <c r="E28" i="4"/>
  <c r="U9" i="4"/>
  <c r="U19" i="4"/>
  <c r="E30" i="4"/>
  <c r="E25" i="4"/>
  <c r="U26" i="4"/>
  <c r="U38" i="4"/>
  <c r="E29" i="4"/>
  <c r="U30" i="4"/>
  <c r="E9" i="4"/>
  <c r="U21" i="4"/>
  <c r="U13" i="4"/>
  <c r="E45" i="4"/>
  <c r="E27" i="4"/>
  <c r="U10" i="4"/>
  <c r="E38" i="4"/>
  <c r="E42" i="4"/>
  <c r="E21" i="4"/>
  <c r="E23" i="4"/>
  <c r="E11" i="4"/>
  <c r="E16" i="4"/>
  <c r="E33" i="4"/>
  <c r="E6" i="4"/>
  <c r="E20" i="4"/>
  <c r="E44" i="4"/>
  <c r="E18" i="4"/>
  <c r="E26" i="4"/>
  <c r="E41" i="4"/>
  <c r="E7" i="4"/>
  <c r="E35" i="4"/>
  <c r="U28" i="4"/>
  <c r="E10" i="4"/>
  <c r="E12" i="4"/>
  <c r="E40" i="4"/>
  <c r="E36" i="4"/>
  <c r="E24" i="4"/>
  <c r="E31" i="4"/>
  <c r="U12" i="4"/>
  <c r="U11" i="4"/>
  <c r="E37" i="4"/>
  <c r="U18" i="4"/>
  <c r="E32" i="4"/>
  <c r="U15" i="4"/>
  <c r="U20" i="4"/>
  <c r="U25" i="4"/>
  <c r="E43" i="4"/>
  <c r="U32" i="4"/>
  <c r="U27" i="4"/>
  <c r="E39" i="4"/>
  <c r="E34" i="4"/>
  <c r="E19" i="4"/>
  <c r="U8" i="4"/>
  <c r="U16" i="4"/>
  <c r="E17" i="4"/>
  <c r="E15" i="4"/>
  <c r="L15" i="4" l="1"/>
  <c r="N15" i="4"/>
  <c r="T15" i="4" s="1"/>
  <c r="V15" i="4" s="1"/>
  <c r="N17" i="4"/>
  <c r="T17" i="4" s="1"/>
  <c r="V17" i="4" s="1"/>
  <c r="L17" i="4"/>
  <c r="L19" i="4"/>
  <c r="N19" i="4"/>
  <c r="T19" i="4" s="1"/>
  <c r="V19" i="4" s="1"/>
  <c r="N34" i="4"/>
  <c r="T34" i="4" s="1"/>
  <c r="V34" i="4" s="1"/>
  <c r="L34" i="4"/>
  <c r="L39" i="4"/>
  <c r="N39" i="4"/>
  <c r="T39" i="4" s="1"/>
  <c r="V39" i="4" s="1"/>
  <c r="N43" i="4"/>
  <c r="T43" i="4" s="1"/>
  <c r="V43" i="4" s="1"/>
  <c r="L43" i="4"/>
  <c r="N32" i="4"/>
  <c r="T32" i="4" s="1"/>
  <c r="V32" i="4" s="1"/>
  <c r="L32" i="4"/>
  <c r="L37" i="4"/>
  <c r="N37" i="4"/>
  <c r="T37" i="4" s="1"/>
  <c r="V37" i="4" s="1"/>
  <c r="N31" i="4"/>
  <c r="T31" i="4" s="1"/>
  <c r="V31" i="4" s="1"/>
  <c r="L31" i="4"/>
  <c r="L24" i="4"/>
  <c r="N24" i="4"/>
  <c r="T24" i="4" s="1"/>
  <c r="V24" i="4" s="1"/>
  <c r="L36" i="4"/>
  <c r="N36" i="4"/>
  <c r="T36" i="4" s="1"/>
  <c r="V36" i="4" s="1"/>
  <c r="L40" i="4"/>
  <c r="N40" i="4"/>
  <c r="T40" i="4" s="1"/>
  <c r="V40" i="4" s="1"/>
  <c r="L12" i="4"/>
  <c r="N12" i="4"/>
  <c r="T12" i="4" s="1"/>
  <c r="V12" i="4" s="1"/>
  <c r="N10" i="4"/>
  <c r="T10" i="4" s="1"/>
  <c r="V10" i="4" s="1"/>
  <c r="L10" i="4"/>
  <c r="L35" i="4"/>
  <c r="N35" i="4"/>
  <c r="T35" i="4" s="1"/>
  <c r="V35" i="4" s="1"/>
  <c r="N7" i="4"/>
  <c r="T7" i="4" s="1"/>
  <c r="V7" i="4" s="1"/>
  <c r="L7" i="4"/>
  <c r="L41" i="4"/>
  <c r="N41" i="4"/>
  <c r="T41" i="4" s="1"/>
  <c r="V41" i="4" s="1"/>
  <c r="N26" i="4"/>
  <c r="T26" i="4" s="1"/>
  <c r="V26" i="4" s="1"/>
  <c r="L26" i="4"/>
  <c r="L18" i="4"/>
  <c r="N18" i="4"/>
  <c r="T18" i="4" s="1"/>
  <c r="V18" i="4" s="1"/>
  <c r="N44" i="4"/>
  <c r="T44" i="4" s="1"/>
  <c r="V44" i="4" s="1"/>
  <c r="L44" i="4"/>
  <c r="N20" i="4"/>
  <c r="T20" i="4" s="1"/>
  <c r="V20" i="4" s="1"/>
  <c r="L20" i="4"/>
  <c r="N6" i="4"/>
  <c r="T6" i="4" s="1"/>
  <c r="V6" i="4" s="1"/>
  <c r="L6" i="4"/>
  <c r="L46" i="4" s="1"/>
  <c r="L33" i="4"/>
  <c r="N33" i="4"/>
  <c r="T33" i="4" s="1"/>
  <c r="V33" i="4" s="1"/>
  <c r="N16" i="4"/>
  <c r="T16" i="4" s="1"/>
  <c r="V16" i="4" s="1"/>
  <c r="L16" i="4"/>
  <c r="N11" i="4"/>
  <c r="T11" i="4" s="1"/>
  <c r="V11" i="4" s="1"/>
  <c r="L11" i="4"/>
  <c r="N23" i="4"/>
  <c r="T23" i="4" s="1"/>
  <c r="V23" i="4" s="1"/>
  <c r="L23" i="4"/>
  <c r="L21" i="4"/>
  <c r="N21" i="4"/>
  <c r="T21" i="4" s="1"/>
  <c r="V21" i="4" s="1"/>
  <c r="N42" i="4"/>
  <c r="T42" i="4" s="1"/>
  <c r="V42" i="4" s="1"/>
  <c r="L42" i="4"/>
  <c r="L38" i="4"/>
  <c r="N38" i="4"/>
  <c r="T38" i="4" s="1"/>
  <c r="V38" i="4" s="1"/>
  <c r="L27" i="4"/>
  <c r="N27" i="4"/>
  <c r="T27" i="4" s="1"/>
  <c r="V27" i="4" s="1"/>
  <c r="L45" i="4"/>
  <c r="N45" i="4"/>
  <c r="T45" i="4" s="1"/>
  <c r="V45" i="4" s="1"/>
  <c r="N9" i="4"/>
  <c r="T9" i="4" s="1"/>
  <c r="V9" i="4" s="1"/>
  <c r="L9" i="4"/>
  <c r="N29" i="4"/>
  <c r="T29" i="4" s="1"/>
  <c r="V29" i="4" s="1"/>
  <c r="L29" i="4"/>
  <c r="N25" i="4"/>
  <c r="T25" i="4" s="1"/>
  <c r="V25" i="4" s="1"/>
  <c r="L25" i="4"/>
  <c r="L30" i="4"/>
  <c r="N30" i="4"/>
  <c r="T30" i="4" s="1"/>
  <c r="V30" i="4" s="1"/>
  <c r="L28" i="4"/>
  <c r="N28" i="4"/>
  <c r="T28" i="4" s="1"/>
  <c r="V28" i="4" s="1"/>
  <c r="L14" i="4"/>
  <c r="N14" i="4"/>
  <c r="T14" i="4" s="1"/>
  <c r="V14" i="4" s="1"/>
  <c r="L13" i="4"/>
  <c r="N13" i="4"/>
  <c r="T13" i="4" s="1"/>
  <c r="V13" i="4" s="1"/>
  <c r="L22" i="4"/>
  <c r="N22" i="4"/>
  <c r="T22" i="4" s="1"/>
  <c r="V22" i="4" s="1"/>
  <c r="N8" i="4"/>
  <c r="T8" i="4" s="1"/>
  <c r="V8" i="4" s="1"/>
  <c r="L8" i="4"/>
  <c r="N46" i="4"/>
  <c r="T46" i="4" s="1"/>
  <c r="V46" i="4" s="1"/>
  <c r="T3" i="4"/>
  <c r="V3" i="4" s="1"/>
</calcChain>
</file>

<file path=xl/sharedStrings.xml><?xml version="1.0" encoding="utf-8"?>
<sst xmlns="http://schemas.openxmlformats.org/spreadsheetml/2006/main" count="245" uniqueCount="122">
  <si>
    <t>基本信息</t>
  </si>
  <si>
    <t>年份</t>
  </si>
  <si>
    <t>月份</t>
  </si>
  <si>
    <t>No.</t>
  </si>
  <si>
    <t>公司編碼</t>
  </si>
  <si>
    <t>公司名稱</t>
  </si>
  <si>
    <t>G60452</t>
  </si>
  <si>
    <t>E60491</t>
  </si>
  <si>
    <t>E60461</t>
  </si>
  <si>
    <t>E60528</t>
  </si>
  <si>
    <t>E60567</t>
  </si>
  <si>
    <t>E60095</t>
  </si>
  <si>
    <t>E80008</t>
  </si>
  <si>
    <t>E60067</t>
  </si>
  <si>
    <t>E60068</t>
  </si>
  <si>
    <t>E60069</t>
  </si>
  <si>
    <t>E60064</t>
  </si>
  <si>
    <t>E60252</t>
  </si>
  <si>
    <t>E60557</t>
  </si>
  <si>
    <t>E60203</t>
  </si>
  <si>
    <t>E60617</t>
  </si>
  <si>
    <t>E60677</t>
  </si>
  <si>
    <t>E60715</t>
  </si>
  <si>
    <t>E60751</t>
  </si>
  <si>
    <t>E60748</t>
  </si>
  <si>
    <t>E60808</t>
  </si>
  <si>
    <t>E60822</t>
  </si>
  <si>
    <t>E60824</t>
  </si>
  <si>
    <t>E60052</t>
  </si>
  <si>
    <t>E60680</t>
  </si>
  <si>
    <t>E60156</t>
  </si>
  <si>
    <t>E60159</t>
  </si>
  <si>
    <t>E60507</t>
  </si>
  <si>
    <t>E60531</t>
  </si>
  <si>
    <t>E60466</t>
  </si>
  <si>
    <t>E60077</t>
  </si>
  <si>
    <t>E60464</t>
  </si>
  <si>
    <t>E60600</t>
  </si>
  <si>
    <t>E60601</t>
  </si>
  <si>
    <t>E60637</t>
  </si>
  <si>
    <t>E60602</t>
  </si>
  <si>
    <t>E60710</t>
  </si>
  <si>
    <t>E60711</t>
  </si>
  <si>
    <t>E60799</t>
  </si>
  <si>
    <t>E60838</t>
  </si>
  <si>
    <t>E60844</t>
  </si>
  <si>
    <t>連接名</t>
  </si>
  <si>
    <t>FIT1</t>
  </si>
  <si>
    <t>Cash_活存明細表</t>
  </si>
  <si>
    <t>Cash_支存明細表</t>
  </si>
  <si>
    <t>NBSA0101_1100</t>
  </si>
  <si>
    <t>大表科目本位幣調整前</t>
  </si>
  <si>
    <t>大表科目本位幣調整后</t>
  </si>
  <si>
    <t>大表科目本位幣調整AJE</t>
  </si>
  <si>
    <t xml:space="preserve">庫存現金及零用金 </t>
  </si>
  <si>
    <t xml:space="preserve">支票存款 </t>
  </si>
  <si>
    <t xml:space="preserve">活期存款 </t>
  </si>
  <si>
    <t xml:space="preserve">定期存款 </t>
  </si>
  <si>
    <t>附買回票券</t>
  </si>
  <si>
    <t>商業本票</t>
  </si>
  <si>
    <t>Total</t>
  </si>
  <si>
    <t>Check</t>
  </si>
  <si>
    <t>定存、活存、支存明細表Total</t>
  </si>
  <si>
    <t>合併金額 USD</t>
  </si>
  <si>
    <t>科目名稱</t>
  </si>
  <si>
    <t>原幣金額</t>
  </si>
  <si>
    <t>合併匯率</t>
  </si>
  <si>
    <t>定存單號</t>
  </si>
  <si>
    <t>起始日</t>
  </si>
  <si>
    <t>到期日</t>
  </si>
  <si>
    <t>年利率</t>
  </si>
  <si>
    <t>USD</t>
  </si>
  <si>
    <t>NTD</t>
  </si>
  <si>
    <t>換算成USD的平均匯率</t>
  </si>
  <si>
    <t>換算成USD的期末匯率</t>
  </si>
  <si>
    <t>JPY</t>
  </si>
  <si>
    <t>VND</t>
  </si>
  <si>
    <t>GBP</t>
  </si>
  <si>
    <t>KRW</t>
  </si>
  <si>
    <t>HKD</t>
  </si>
  <si>
    <t>CNY</t>
  </si>
  <si>
    <t>MXI</t>
  </si>
  <si>
    <t>表單名稱</t>
  </si>
  <si>
    <t>內地銀行</t>
  </si>
  <si>
    <t>原幣幣別</t>
  </si>
  <si>
    <t>記帳幣別</t>
  </si>
  <si>
    <t>換算成USD匯率</t>
  </si>
  <si>
    <t>本位幣幣種</t>
  </si>
  <si>
    <t>展示金額：本位幣</t>
  </si>
  <si>
    <t>BSA現金及約當現金_USD金額</t>
  </si>
  <si>
    <t>展示金額：USD</t>
  </si>
  <si>
    <t>其他-禮品卡</t>
  </si>
  <si>
    <t>關係人按交易幣種分類本位幣金額</t>
  </si>
  <si>
    <t>是否取自數據庫</t>
  </si>
  <si>
    <t>數據庫表名</t>
  </si>
  <si>
    <t>Cash_1100現金及約當現金</t>
  </si>
  <si>
    <t>N</t>
  </si>
  <si>
    <t>是否取自HFM表單</t>
  </si>
  <si>
    <t>是否隱藏表單</t>
  </si>
  <si>
    <t>PlugAccount</t>
  </si>
  <si>
    <t>法人編碼</t>
  </si>
  <si>
    <t>法人名稱</t>
  </si>
  <si>
    <t>科目明細</t>
  </si>
  <si>
    <t>銀行名稱</t>
  </si>
  <si>
    <t>銀行賬號</t>
  </si>
  <si>
    <t xml:space="preserve">合併匯率
</t>
  </si>
  <si>
    <t>分類(定期存款-3個月以上/保函保證金)</t>
  </si>
  <si>
    <t>銀行帳號</t>
  </si>
  <si>
    <t>USD換算成NTD的期末匯率</t>
  </si>
  <si>
    <t>USD換算成NTD的平均匯率</t>
  </si>
  <si>
    <t>E60847</t>
  </si>
  <si>
    <t>Cash_三個月以上定存明細表</t>
  </si>
  <si>
    <t>Cash_三個月內定存明細表</t>
  </si>
  <si>
    <t>Cash_庫存現金及零用金</t>
  </si>
  <si>
    <t>審計資料輸出模板-Cash</t>
  </si>
  <si>
    <t>會計科目編號</t>
  </si>
  <si>
    <t>會計科目名稱</t>
  </si>
  <si>
    <t>重評匯率</t>
  </si>
  <si>
    <t>月底餘額（重評后金額）</t>
  </si>
  <si>
    <t>Check with 大表金額</t>
  </si>
  <si>
    <t>H60452</t>
  </si>
  <si>
    <t>E60452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</si>
</sst>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 * #,##0.00_ ;_ * \-#,##0.00_ ;_ * &quot;-&quot;??_ ;_ @_ "/>
    <numFmt numFmtId="164" formatCode="_-[$$-404]* #,##0.00_-;\-[$$-404]* #,##0.00_-;_-[$$-404]* &quot;-&quot;??_-;_-@_-"/>
    <numFmt numFmtId="165" formatCode="_-* #,##0.00_-;\-* #,##0.00_-;_-* &quot;-&quot;??_-;_-@_-"/>
    <numFmt numFmtId="166" formatCode="_(* #,##0.00_);_(* \(#,##0.00\);_(* &quot;-&quot;??_);_(@_)"/>
    <numFmt numFmtId="167" formatCode="_ * #,##0.000000_ ;_ * \-#,##0.000000_ ;_ * &quot;-&quot;??_ ;_ @_ "/>
    <numFmt numFmtId="168" formatCode="_ * #,##0.000000_ ;_ * \-#,##0.000000_ ;_ * &quot;-&quot;????_ ;_ @_ "/>
  </numFmts>
  <fonts count="22"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b/>
      <sz val="14"/>
      <name val="Georgia"/>
      <family val="1"/>
    </font>
    <font>
      <sz val="12"/>
      <name val="新細明體"/>
      <family val="1"/>
      <charset val="136"/>
    </font>
    <font>
      <b/>
      <sz val="10"/>
      <color theme="0"/>
      <name val="Georgia"/>
      <family val="1"/>
    </font>
    <font>
      <b/>
      <sz val="10"/>
      <name val="Georgia"/>
      <family val="1"/>
    </font>
    <font>
      <sz val="9"/>
      <name val="Arial"/>
      <family val="2"/>
    </font>
    <font>
      <sz val="12"/>
      <color theme="1"/>
      <name val="Calibri"/>
      <family val="2"/>
      <charset val="136"/>
      <scheme val="minor"/>
    </font>
    <font>
      <sz val="10"/>
      <color rgb="FF000000"/>
      <name val="等线"/>
      <charset val="134"/>
    </font>
    <font>
      <sz val="9"/>
      <color theme="1"/>
      <name val="Georgia"/>
      <family val="1"/>
    </font>
    <font>
      <sz val="9"/>
      <color theme="1"/>
      <name val="arial"/>
      <family val="2"/>
    </font>
    <font>
      <sz val="12"/>
      <color theme="1"/>
      <name val="Calibri"/>
      <family val="2"/>
    </font>
    <font>
      <sz val="10"/>
      <name val="Times New Roman"/>
      <family val="1"/>
    </font>
    <font>
      <sz val="11"/>
      <color theme="1"/>
      <name val="Calibri"/>
      <family val="3"/>
      <charset val="134"/>
      <scheme val="minor"/>
    </font>
    <font>
      <sz val="11"/>
      <color indexed="8"/>
      <name val="宋体"/>
      <family val="3"/>
      <charset val="134"/>
    </font>
    <font>
      <sz val="10"/>
      <color theme="1"/>
      <name val="Arial Unicode MS"/>
      <family val="2"/>
    </font>
    <font>
      <sz val="11"/>
      <color theme="1"/>
      <name val="Arial"/>
      <family val="2"/>
    </font>
    <font>
      <sz val="12"/>
      <name val="Times New Roman"/>
      <family val="1"/>
    </font>
    <font>
      <sz val="11"/>
      <color theme="1"/>
      <name val="Calibri"/>
      <family val="1"/>
      <charset val="136"/>
      <scheme val="minor"/>
    </font>
    <font>
      <b/>
      <sz val="9"/>
      <color theme="1"/>
      <name val="Georgia"/>
      <family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249977111117893"/>
      </left>
      <right/>
      <top style="medium">
        <color theme="4" tint="-0.249977111117893"/>
      </top>
      <bottom style="thin">
        <color theme="4" tint="-0.249977111117893"/>
      </bottom>
      <diagonal/>
    </border>
    <border>
      <left/>
      <right/>
      <top style="medium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249977111117893"/>
      </right>
      <top style="medium">
        <color theme="4" tint="-0.249977111117893"/>
      </top>
      <bottom style="thin">
        <color theme="4" tint="-0.249977111117893"/>
      </bottom>
      <diagonal/>
    </border>
    <border>
      <left style="medium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medium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medium">
        <color theme="4" tint="-0.249977111117893"/>
      </right>
      <top style="thin">
        <color theme="4" tint="-0.249977111117893"/>
      </top>
      <bottom/>
      <diagonal/>
    </border>
    <border>
      <left style="medium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249977111117893"/>
      </left>
      <right/>
      <top style="thin">
        <color theme="4" tint="-0.249977111117893"/>
      </top>
      <bottom style="medium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medium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medium">
        <color theme="4" tint="-0.249977111117893"/>
      </bottom>
      <diagonal/>
    </border>
    <border>
      <left style="thin">
        <color theme="4" tint="-0.249977111117893"/>
      </left>
      <right style="medium">
        <color theme="4" tint="-0.249977111117893"/>
      </right>
      <top style="thin">
        <color theme="4" tint="-0.249977111117893"/>
      </top>
      <bottom style="medium">
        <color theme="4" tint="-0.249977111117893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 style="thin">
        <color theme="4" tint="0.39997558519241921"/>
      </left>
      <right style="thin">
        <color theme="0"/>
      </right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medium">
        <color theme="4" tint="-0.249977111117893"/>
      </bottom>
      <diagonal/>
    </border>
    <border>
      <left style="thin">
        <color theme="4" tint="-0.249977111117893"/>
      </left>
      <right style="medium">
        <color theme="4" tint="-0.249977111117893"/>
      </right>
      <top/>
      <bottom style="thin">
        <color theme="4" tint="-0.249977111117893"/>
      </bottom>
      <diagonal/>
    </border>
    <border>
      <left/>
      <right style="medium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249977111117893"/>
      </right>
      <top style="thin">
        <color theme="4" tint="-0.249977111117893"/>
      </top>
      <bottom style="medium">
        <color theme="4" tint="-0.249977111117893"/>
      </bottom>
      <diagonal/>
    </border>
    <border>
      <left style="medium">
        <color theme="4" tint="-0.249977111117893"/>
      </left>
      <right style="medium">
        <color theme="4" tint="-0.249977111117893"/>
      </right>
      <top style="medium">
        <color theme="4" tint="-0.249977111117893"/>
      </top>
      <bottom/>
      <diagonal/>
    </border>
    <border>
      <left style="medium">
        <color theme="4" tint="-0.249977111117893"/>
      </left>
      <right style="medium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249977111117893"/>
      </left>
      <right style="medium">
        <color theme="4" tint="-0.249977111117893"/>
      </right>
      <top style="thin">
        <color theme="4" tint="-0.249977111117893"/>
      </top>
      <bottom style="medium">
        <color theme="4" tint="-0.249977111117893"/>
      </bottom>
      <diagonal/>
    </border>
    <border>
      <left/>
      <right style="medium">
        <color theme="4" tint="-0.249977111117893"/>
      </right>
      <top style="medium">
        <color theme="4" tint="-0.249977111117893"/>
      </top>
      <bottom/>
      <diagonal/>
    </border>
    <border>
      <left style="medium">
        <color theme="4" tint="-0.249977111117893"/>
      </left>
      <right style="thin">
        <color theme="4" tint="-0.249977111117893"/>
      </right>
      <top style="thin">
        <color theme="4" tint="-0.249977111117893"/>
      </top>
      <bottom style="medium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medium">
        <color theme="4" tint="-0.249977111117893"/>
      </bottom>
      <diagonal/>
    </border>
    <border>
      <left style="thin">
        <color theme="0"/>
      </left>
      <right/>
      <top/>
      <bottom style="thin">
        <color theme="4"/>
      </bottom>
      <diagonal/>
    </border>
    <border>
      <left style="medium">
        <color theme="4" tint="-0.249977111117893"/>
      </left>
      <right/>
      <top style="thin">
        <color theme="4" tint="-0.249977111117893"/>
      </top>
      <bottom/>
      <diagonal/>
    </border>
    <border>
      <left/>
      <right style="thin">
        <color theme="0"/>
      </right>
      <top/>
      <bottom style="thin">
        <color theme="4"/>
      </bottom>
      <diagonal/>
    </border>
  </borders>
  <cellStyleXfs count="22">
    <xf numFmtId="0" fontId="0" fillId="0" borderId="0"/>
    <xf numFmtId="43" fontId="1" fillId="0" borderId="0" applyFont="0" applyFill="0" applyBorder="0" applyAlignment="0" applyProtection="0"/>
    <xf numFmtId="0" fontId="2" fillId="0" borderId="0"/>
    <xf numFmtId="0" fontId="5" fillId="0" borderId="0"/>
    <xf numFmtId="0" fontId="3" fillId="2" borderId="1">
      <alignment vertical="center"/>
      <protection locked="0"/>
    </xf>
    <xf numFmtId="164" fontId="9" fillId="0" borderId="0">
      <alignment vertical="center"/>
    </xf>
    <xf numFmtId="0" fontId="2" fillId="0" borderId="0"/>
    <xf numFmtId="165" fontId="9" fillId="0" borderId="0" applyFont="0" applyFill="0" applyBorder="0" applyAlignment="0" applyProtection="0">
      <alignment vertical="center"/>
    </xf>
    <xf numFmtId="164" fontId="13" fillId="0" borderId="0">
      <alignment vertical="center"/>
    </xf>
    <xf numFmtId="164" fontId="14" fillId="0" borderId="0">
      <protection locked="0"/>
    </xf>
    <xf numFmtId="164" fontId="15" fillId="0" borderId="0">
      <alignment vertical="center"/>
      <protection locked="0"/>
    </xf>
    <xf numFmtId="164" fontId="15" fillId="0" borderId="0">
      <alignment vertical="center"/>
      <protection locked="0"/>
    </xf>
    <xf numFmtId="166" fontId="16" fillId="0" borderId="0" applyFont="0" applyFill="0" applyBorder="0" applyAlignment="0" applyProtection="0"/>
    <xf numFmtId="0" fontId="9" fillId="0" borderId="0">
      <alignment vertical="center"/>
    </xf>
    <xf numFmtId="164" fontId="17" fillId="0" borderId="0"/>
    <xf numFmtId="164" fontId="18" fillId="0" borderId="0"/>
    <xf numFmtId="0" fontId="9" fillId="0" borderId="0">
      <alignment vertical="center"/>
    </xf>
    <xf numFmtId="165" fontId="9" fillId="0" borderId="0" applyFont="0" applyFill="0" applyBorder="0" applyAlignment="0" applyProtection="0">
      <alignment vertical="center"/>
    </xf>
    <xf numFmtId="0" fontId="19" fillId="0" borderId="0"/>
    <xf numFmtId="0" fontId="20" fillId="0" borderId="0">
      <alignment vertical="center"/>
    </xf>
    <xf numFmtId="0" fontId="15" fillId="0" borderId="0">
      <alignment vertical="center"/>
      <protection locked="0"/>
    </xf>
    <xf numFmtId="0" fontId="15" fillId="0" borderId="0">
      <alignment vertical="center"/>
      <protection locked="0"/>
    </xf>
  </cellStyleXfs>
  <cellXfs count="100">
    <xf numFmtId="0" fontId="0" fillId="0" borderId="0" xfId="0"/>
    <xf numFmtId="0" fontId="2" fillId="0" borderId="0" xfId="2"/>
    <xf numFmtId="0" fontId="2" fillId="0" borderId="0" xfId="2" applyNumberFormat="1"/>
    <xf numFmtId="0" fontId="10" fillId="0" borderId="4" xfId="0" applyNumberFormat="1" applyFont="1" applyFill="1" applyBorder="1" applyAlignment="1"/>
    <xf numFmtId="0" fontId="2" fillId="0" borderId="0" xfId="2" applyAlignment="1">
      <alignment horizontal="left"/>
    </xf>
    <xf numFmtId="43" fontId="2" fillId="0" borderId="0" xfId="1" applyFont="1"/>
    <xf numFmtId="43" fontId="2" fillId="0" borderId="0" xfId="1" applyFont="1" applyAlignment="1">
      <alignment horizontal="right"/>
    </xf>
    <xf numFmtId="43" fontId="8" fillId="0" borderId="4" xfId="1" applyFont="1" applyBorder="1" applyAlignment="1">
      <alignment horizontal="right"/>
    </xf>
    <xf numFmtId="0" fontId="10" fillId="0" borderId="5" xfId="0" applyNumberFormat="1" applyFont="1" applyFill="1" applyBorder="1" applyAlignment="1"/>
    <xf numFmtId="49" fontId="10" fillId="0" borderId="11" xfId="0" applyNumberFormat="1" applyFont="1" applyFill="1" applyBorder="1" applyAlignment="1"/>
    <xf numFmtId="43" fontId="8" fillId="0" borderId="12" xfId="1" applyFont="1" applyBorder="1" applyAlignment="1">
      <alignment horizontal="right"/>
    </xf>
    <xf numFmtId="49" fontId="10" fillId="0" borderId="13" xfId="0" applyNumberFormat="1" applyFont="1" applyFill="1" applyBorder="1" applyAlignment="1"/>
    <xf numFmtId="43" fontId="8" fillId="0" borderId="14" xfId="1" applyFont="1" applyBorder="1" applyAlignment="1">
      <alignment horizontal="right"/>
    </xf>
    <xf numFmtId="0" fontId="2" fillId="0" borderId="0" xfId="2" applyFont="1" applyAlignment="1">
      <alignment horizontal="center" vertical="center"/>
    </xf>
    <xf numFmtId="49" fontId="6" fillId="3" borderId="11" xfId="5" applyNumberFormat="1" applyFont="1" applyFill="1" applyBorder="1" applyAlignment="1">
      <alignment horizontal="center" vertical="center"/>
    </xf>
    <xf numFmtId="0" fontId="6" fillId="3" borderId="4" xfId="5" applyNumberFormat="1" applyFont="1" applyFill="1" applyBorder="1" applyAlignment="1">
      <alignment horizontal="center" vertical="center"/>
    </xf>
    <xf numFmtId="43" fontId="6" fillId="3" borderId="4" xfId="1" applyFont="1" applyFill="1" applyBorder="1" applyAlignment="1">
      <alignment horizontal="center" vertical="center"/>
    </xf>
    <xf numFmtId="43" fontId="6" fillId="3" borderId="12" xfId="1" applyFont="1" applyFill="1" applyBorder="1" applyAlignment="1">
      <alignment horizontal="center" vertical="center"/>
    </xf>
    <xf numFmtId="43" fontId="6" fillId="3" borderId="11" xfId="5" applyNumberFormat="1" applyFont="1" applyFill="1" applyBorder="1" applyAlignment="1">
      <alignment horizontal="center" vertical="center"/>
    </xf>
    <xf numFmtId="43" fontId="2" fillId="0" borderId="0" xfId="2" applyNumberFormat="1"/>
    <xf numFmtId="0" fontId="2" fillId="0" borderId="0" xfId="2" applyFont="1"/>
    <xf numFmtId="43" fontId="8" fillId="0" borderId="4" xfId="1" applyFont="1" applyFill="1" applyBorder="1" applyAlignment="1">
      <alignment horizontal="right"/>
    </xf>
    <xf numFmtId="43" fontId="8" fillId="0" borderId="12" xfId="1" applyFont="1" applyFill="1" applyBorder="1" applyAlignment="1">
      <alignment horizontal="right"/>
    </xf>
    <xf numFmtId="43" fontId="8" fillId="0" borderId="18" xfId="1" applyFont="1" applyFill="1" applyBorder="1" applyAlignment="1">
      <alignment horizontal="right"/>
    </xf>
    <xf numFmtId="43" fontId="8" fillId="0" borderId="19" xfId="1" applyFont="1" applyFill="1" applyBorder="1" applyAlignment="1">
      <alignment horizontal="right"/>
    </xf>
    <xf numFmtId="43" fontId="6" fillId="3" borderId="11" xfId="1" applyFont="1" applyFill="1" applyBorder="1" applyAlignment="1">
      <alignment horizontal="center" vertical="center"/>
    </xf>
    <xf numFmtId="0" fontId="2" fillId="0" borderId="0" xfId="2" applyAlignment="1">
      <alignment vertical="center"/>
    </xf>
    <xf numFmtId="0" fontId="8" fillId="4" borderId="20" xfId="2" applyNumberFormat="1" applyFont="1" applyFill="1" applyBorder="1" applyAlignment="1">
      <alignment horizontal="center" vertical="center"/>
    </xf>
    <xf numFmtId="0" fontId="8" fillId="0" borderId="20" xfId="2" applyNumberFormat="1" applyFont="1" applyFill="1" applyBorder="1" applyAlignment="1">
      <alignment horizontal="center" vertical="center"/>
    </xf>
    <xf numFmtId="0" fontId="6" fillId="3" borderId="25" xfId="2" applyNumberFormat="1" applyFont="1" applyFill="1" applyBorder="1" applyAlignment="1">
      <alignment horizontal="center" vertical="center"/>
    </xf>
    <xf numFmtId="0" fontId="6" fillId="3" borderId="7" xfId="1" applyNumberFormat="1" applyFont="1" applyFill="1" applyBorder="1" applyAlignment="1">
      <alignment horizontal="center" vertical="center"/>
    </xf>
    <xf numFmtId="0" fontId="8" fillId="0" borderId="6" xfId="1" applyNumberFormat="1" applyFont="1" applyBorder="1" applyAlignment="1">
      <alignment horizontal="center"/>
    </xf>
    <xf numFmtId="43" fontId="8" fillId="0" borderId="27" xfId="1" applyFont="1" applyBorder="1" applyAlignment="1">
      <alignment horizontal="right"/>
    </xf>
    <xf numFmtId="43" fontId="6" fillId="3" borderId="3" xfId="1" applyFont="1" applyFill="1" applyBorder="1" applyAlignment="1">
      <alignment horizontal="center" vertical="center"/>
    </xf>
    <xf numFmtId="43" fontId="12" fillId="0" borderId="3" xfId="1" applyFont="1" applyFill="1" applyBorder="1" applyAlignment="1" applyProtection="1">
      <alignment horizontal="right"/>
      <protection hidden="1"/>
    </xf>
    <xf numFmtId="43" fontId="8" fillId="0" borderId="3" xfId="1" applyFont="1" applyFill="1" applyBorder="1" applyAlignment="1">
      <alignment horizontal="right"/>
    </xf>
    <xf numFmtId="43" fontId="8" fillId="0" borderId="17" xfId="1" applyFont="1" applyFill="1" applyBorder="1" applyAlignment="1">
      <alignment horizontal="right"/>
    </xf>
    <xf numFmtId="43" fontId="6" fillId="3" borderId="28" xfId="1" applyFont="1" applyFill="1" applyBorder="1" applyAlignment="1">
      <alignment horizontal="center" vertical="center"/>
    </xf>
    <xf numFmtId="43" fontId="8" fillId="0" borderId="28" xfId="1" applyFont="1" applyFill="1" applyBorder="1" applyAlignment="1">
      <alignment horizontal="right"/>
    </xf>
    <xf numFmtId="43" fontId="8" fillId="0" borderId="29" xfId="1" applyFont="1" applyFill="1" applyBorder="1" applyAlignment="1">
      <alignment horizontal="right"/>
    </xf>
    <xf numFmtId="43" fontId="8" fillId="0" borderId="28" xfId="1" applyFont="1" applyBorder="1" applyAlignment="1">
      <alignment horizontal="right"/>
    </xf>
    <xf numFmtId="0" fontId="11" fillId="0" borderId="8" xfId="0" applyFont="1" applyBorder="1" applyAlignment="1">
      <alignment vertical="center"/>
    </xf>
    <xf numFmtId="0" fontId="11" fillId="0" borderId="9" xfId="0" applyFont="1" applyBorder="1" applyAlignment="1">
      <alignment vertical="center"/>
    </xf>
    <xf numFmtId="0" fontId="7" fillId="0" borderId="2" xfId="5" applyNumberFormat="1" applyFont="1" applyFill="1" applyBorder="1" applyAlignment="1">
      <alignment horizontal="center" vertical="center"/>
    </xf>
    <xf numFmtId="0" fontId="7" fillId="0" borderId="26" xfId="5" applyNumberFormat="1" applyFont="1" applyFill="1" applyBorder="1" applyAlignment="1">
      <alignment horizontal="center" vertical="center"/>
    </xf>
    <xf numFmtId="43" fontId="12" fillId="0" borderId="11" xfId="1" applyFont="1" applyFill="1" applyBorder="1" applyAlignment="1" applyProtection="1">
      <alignment horizontal="right"/>
      <protection hidden="1"/>
    </xf>
    <xf numFmtId="43" fontId="8" fillId="0" borderId="11" xfId="1" applyFont="1" applyFill="1" applyBorder="1" applyAlignment="1">
      <alignment horizontal="right"/>
    </xf>
    <xf numFmtId="43" fontId="8" fillId="0" borderId="34" xfId="1" applyFont="1" applyFill="1" applyBorder="1" applyAlignment="1">
      <alignment horizontal="right"/>
    </xf>
    <xf numFmtId="167" fontId="2" fillId="0" borderId="0" xfId="1" applyNumberFormat="1" applyFont="1" applyAlignment="1">
      <alignment horizontal="right"/>
    </xf>
    <xf numFmtId="43" fontId="8" fillId="0" borderId="4" xfId="1" applyNumberFormat="1" applyFont="1" applyBorder="1" applyAlignment="1">
      <alignment horizontal="right"/>
    </xf>
    <xf numFmtId="43" fontId="11" fillId="0" borderId="33" xfId="1" applyFont="1" applyBorder="1" applyAlignment="1">
      <alignment horizontal="right" vertical="center"/>
    </xf>
    <xf numFmtId="43" fontId="2" fillId="0" borderId="30" xfId="1" applyFont="1" applyBorder="1"/>
    <xf numFmtId="43" fontId="6" fillId="3" borderId="31" xfId="1" applyFont="1" applyFill="1" applyBorder="1" applyAlignment="1">
      <alignment horizontal="center" vertical="center"/>
    </xf>
    <xf numFmtId="43" fontId="8" fillId="0" borderId="31" xfId="1" applyFont="1" applyBorder="1" applyAlignment="1">
      <alignment horizontal="right"/>
    </xf>
    <xf numFmtId="43" fontId="8" fillId="0" borderId="31" xfId="1" applyFont="1" applyFill="1" applyBorder="1" applyAlignment="1">
      <alignment horizontal="right"/>
    </xf>
    <xf numFmtId="43" fontId="8" fillId="0" borderId="32" xfId="1" applyFont="1" applyFill="1" applyBorder="1" applyAlignment="1">
      <alignment horizontal="right"/>
    </xf>
    <xf numFmtId="43" fontId="6" fillId="3" borderId="7" xfId="1" applyFont="1" applyFill="1" applyBorder="1" applyAlignment="1">
      <alignment horizontal="center" vertical="center"/>
    </xf>
    <xf numFmtId="43" fontId="8" fillId="0" borderId="7" xfId="1" applyFont="1" applyFill="1" applyBorder="1" applyAlignment="1">
      <alignment horizontal="right"/>
    </xf>
    <xf numFmtId="43" fontId="8" fillId="0" borderId="35" xfId="1" applyFont="1" applyFill="1" applyBorder="1" applyAlignment="1">
      <alignment horizontal="right"/>
    </xf>
    <xf numFmtId="0" fontId="8" fillId="0" borderId="20" xfId="2" applyFont="1" applyFill="1" applyBorder="1" applyAlignment="1">
      <alignment horizontal="left" vertical="center"/>
    </xf>
    <xf numFmtId="0" fontId="6" fillId="3" borderId="36" xfId="2" applyNumberFormat="1" applyFont="1" applyFill="1" applyBorder="1" applyAlignment="1">
      <alignment horizontal="center" vertical="center"/>
    </xf>
    <xf numFmtId="0" fontId="2" fillId="0" borderId="0" xfId="2" applyAlignment="1">
      <alignment horizontal="center"/>
    </xf>
    <xf numFmtId="0" fontId="8" fillId="0" borderId="20" xfId="2" applyFont="1" applyFill="1" applyBorder="1" applyAlignment="1">
      <alignment horizontal="center" vertical="center"/>
    </xf>
    <xf numFmtId="0" fontId="8" fillId="0" borderId="20" xfId="2" applyFont="1" applyFill="1" applyBorder="1" applyAlignment="1">
      <alignment horizontal="left" vertical="center"/>
    </xf>
    <xf numFmtId="0" fontId="8" fillId="0" borderId="0" xfId="2" applyFont="1" applyFill="1" applyBorder="1" applyAlignment="1">
      <alignment horizontal="center" vertical="center"/>
    </xf>
    <xf numFmtId="0" fontId="6" fillId="0" borderId="0" xfId="2" applyNumberFormat="1" applyFont="1" applyFill="1" applyBorder="1" applyAlignment="1">
      <alignment horizontal="center" vertical="center"/>
    </xf>
    <xf numFmtId="0" fontId="2" fillId="0" borderId="0" xfId="2" applyAlignment="1">
      <alignment vertical="center" wrapText="1"/>
    </xf>
    <xf numFmtId="0" fontId="2" fillId="0" borderId="0" xfId="2" applyFont="1" applyAlignment="1">
      <alignment vertical="center" wrapText="1"/>
    </xf>
    <xf numFmtId="43" fontId="2" fillId="0" borderId="0" xfId="2" applyNumberFormat="1" applyAlignment="1">
      <alignment vertical="center" wrapText="1"/>
    </xf>
    <xf numFmtId="49" fontId="10" fillId="0" borderId="37" xfId="0" applyNumberFormat="1" applyFont="1" applyFill="1" applyBorder="1" applyAlignment="1"/>
    <xf numFmtId="168" fontId="11" fillId="0" borderId="10" xfId="0" applyNumberFormat="1" applyFont="1" applyBorder="1" applyAlignment="1">
      <alignment horizontal="right" vertical="center"/>
    </xf>
    <xf numFmtId="168" fontId="6" fillId="3" borderId="28" xfId="1" applyNumberFormat="1" applyFont="1" applyFill="1" applyBorder="1" applyAlignment="1">
      <alignment horizontal="center" vertical="center"/>
    </xf>
    <xf numFmtId="168" fontId="12" fillId="0" borderId="28" xfId="1" applyNumberFormat="1" applyFont="1" applyFill="1" applyBorder="1" applyAlignment="1" applyProtection="1">
      <alignment horizontal="right"/>
      <protection hidden="1"/>
    </xf>
    <xf numFmtId="168" fontId="8" fillId="0" borderId="28" xfId="1" applyNumberFormat="1" applyFont="1" applyFill="1" applyBorder="1" applyAlignment="1">
      <alignment horizontal="right"/>
    </xf>
    <xf numFmtId="168" fontId="8" fillId="0" borderId="29" xfId="1" applyNumberFormat="1" applyFont="1" applyFill="1" applyBorder="1" applyAlignment="1">
      <alignment horizontal="right"/>
    </xf>
    <xf numFmtId="168" fontId="2" fillId="0" borderId="0" xfId="1" applyNumberFormat="1" applyFont="1" applyAlignment="1">
      <alignment horizontal="right"/>
    </xf>
    <xf numFmtId="0" fontId="8" fillId="0" borderId="20" xfId="2" applyFont="1" applyFill="1" applyBorder="1" applyAlignment="1">
      <alignment horizontal="left" vertical="center"/>
    </xf>
    <xf numFmtId="43" fontId="8" fillId="5" borderId="11" xfId="1" applyFont="1" applyFill="1" applyBorder="1" applyAlignment="1">
      <alignment horizontal="right"/>
    </xf>
    <xf numFmtId="43" fontId="8" fillId="5" borderId="4" xfId="1" applyFont="1" applyFill="1" applyBorder="1" applyAlignment="1">
      <alignment horizontal="right"/>
    </xf>
    <xf numFmtId="43" fontId="8" fillId="5" borderId="4" xfId="1" applyNumberFormat="1" applyFont="1" applyFill="1" applyBorder="1" applyAlignment="1">
      <alignment horizontal="right"/>
    </xf>
    <xf numFmtId="43" fontId="8" fillId="5" borderId="3" xfId="1" applyFont="1" applyFill="1" applyBorder="1" applyAlignment="1">
      <alignment horizontal="right"/>
    </xf>
    <xf numFmtId="0" fontId="8" fillId="0" borderId="20" xfId="2" applyNumberFormat="1" applyFont="1" applyFill="1" applyBorder="1" applyAlignment="1" applyProtection="1">
      <alignment horizontal="center" vertical="center"/>
      <protection locked="0"/>
    </xf>
    <xf numFmtId="0" fontId="6" fillId="3" borderId="20" xfId="2" applyNumberFormat="1" applyFont="1" applyFill="1" applyBorder="1" applyAlignment="1">
      <alignment horizontal="left" vertical="center" indent="1"/>
    </xf>
    <xf numFmtId="0" fontId="4" fillId="0" borderId="24" xfId="2" applyNumberFormat="1" applyFont="1" applyBorder="1" applyAlignment="1">
      <alignment horizontal="left" vertical="center"/>
    </xf>
    <xf numFmtId="0" fontId="8" fillId="0" borderId="21" xfId="2" applyNumberFormat="1" applyFont="1" applyFill="1" applyBorder="1" applyAlignment="1" applyProtection="1">
      <alignment horizontal="left" vertical="center" indent="1"/>
      <protection locked="0"/>
    </xf>
    <xf numFmtId="0" fontId="8" fillId="0" borderId="22" xfId="2" applyNumberFormat="1" applyFont="1" applyFill="1" applyBorder="1" applyAlignment="1" applyProtection="1">
      <alignment horizontal="left" vertical="center" indent="1"/>
      <protection locked="0"/>
    </xf>
    <xf numFmtId="0" fontId="8" fillId="0" borderId="23" xfId="2" applyNumberFormat="1" applyFont="1" applyFill="1" applyBorder="1" applyAlignment="1" applyProtection="1">
      <alignment horizontal="left" vertical="center" indent="1"/>
      <protection locked="0"/>
    </xf>
    <xf numFmtId="0" fontId="8" fillId="0" borderId="21" xfId="2" applyFont="1" applyFill="1" applyBorder="1" applyAlignment="1">
      <alignment horizontal="left" vertical="center"/>
    </xf>
    <xf numFmtId="0" fontId="8" fillId="0" borderId="22" xfId="2" applyFont="1" applyFill="1" applyBorder="1" applyAlignment="1">
      <alignment horizontal="left" vertical="center"/>
    </xf>
    <xf numFmtId="0" fontId="8" fillId="0" borderId="23" xfId="2" applyFont="1" applyFill="1" applyBorder="1" applyAlignment="1">
      <alignment horizontal="left" vertical="center"/>
    </xf>
    <xf numFmtId="0" fontId="6" fillId="3" borderId="36" xfId="2" applyNumberFormat="1" applyFont="1" applyFill="1" applyBorder="1" applyAlignment="1">
      <alignment horizontal="center" vertical="center"/>
    </xf>
    <xf numFmtId="0" fontId="6" fillId="3" borderId="24" xfId="2" applyNumberFormat="1" applyFont="1" applyFill="1" applyBorder="1" applyAlignment="1">
      <alignment horizontal="center" vertical="center"/>
    </xf>
    <xf numFmtId="0" fontId="6" fillId="3" borderId="38" xfId="2" applyNumberFormat="1" applyFont="1" applyFill="1" applyBorder="1" applyAlignment="1">
      <alignment horizontal="center" vertical="center"/>
    </xf>
    <xf numFmtId="0" fontId="21" fillId="0" borderId="8" xfId="0" applyFont="1" applyBorder="1" applyAlignment="1">
      <alignment horizontal="left" vertical="center"/>
    </xf>
    <xf numFmtId="0" fontId="21" fillId="0" borderId="9" xfId="0" applyFont="1" applyBorder="1" applyAlignment="1">
      <alignment horizontal="left" vertical="center"/>
    </xf>
    <xf numFmtId="0" fontId="21" fillId="0" borderId="10" xfId="0" applyFont="1" applyBorder="1" applyAlignment="1">
      <alignment horizontal="left" vertical="center"/>
    </xf>
    <xf numFmtId="0" fontId="7" fillId="0" borderId="15" xfId="5" applyNumberFormat="1" applyFont="1" applyFill="1" applyBorder="1" applyAlignment="1">
      <alignment horizontal="center" vertical="center"/>
    </xf>
    <xf numFmtId="0" fontId="7" fillId="0" borderId="3" xfId="5" applyNumberFormat="1" applyFont="1" applyFill="1" applyBorder="1" applyAlignment="1">
      <alignment horizontal="center" vertical="center"/>
    </xf>
    <xf numFmtId="0" fontId="7" fillId="0" borderId="16" xfId="5" applyNumberFormat="1" applyFont="1" applyFill="1" applyBorder="1" applyAlignment="1">
      <alignment horizontal="center" vertical="center"/>
    </xf>
    <xf numFmtId="0" fontId="7" fillId="0" borderId="17" xfId="5" applyNumberFormat="1" applyFont="1" applyFill="1" applyBorder="1" applyAlignment="1">
      <alignment horizontal="center" vertical="center"/>
    </xf>
  </cellXfs>
  <cellStyles count="22">
    <cellStyle name="Comma 2 4" xfId="12"/>
    <cellStyle name="Normal 111" xfId="14"/>
    <cellStyle name="Normal 2 2" xfId="18"/>
    <cellStyle name="Normal 2 2 10 2" xfId="9"/>
    <cellStyle name="Normal 2 3 3" xfId="20"/>
    <cellStyle name="Normal 2 3 3 2" xfId="10"/>
    <cellStyle name="Normal 3" xfId="19"/>
    <cellStyle name="Normal 6 2" xfId="11"/>
    <cellStyle name="Normal 6 3" xfId="21"/>
    <cellStyle name="常规" xfId="0" builtinId="0"/>
    <cellStyle name="常规 2" xfId="2"/>
    <cellStyle name="常规 2 2" xfId="13"/>
    <cellStyle name="常规 3" xfId="5"/>
    <cellStyle name="常规 3 2" xfId="6"/>
    <cellStyle name="常规 4" xfId="15"/>
    <cellStyle name="千分位 6" xfId="17"/>
    <cellStyle name="千位分隔" xfId="1" builtinId="3"/>
    <cellStyle name="千位分隔 2" xfId="7"/>
    <cellStyle name="填寫區域" xfId="4"/>
    <cellStyle name="一般 2 2 3" xfId="16"/>
    <cellStyle name="一般 5" xfId="8"/>
    <cellStyle name="一般_PACKAGE檢查項目_change_1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510540</xdr:colOff>
      <xdr:row>2</xdr:row>
      <xdr:rowOff>160020</xdr:rowOff>
    </xdr:from>
    <xdr:to>
      <xdr:col>11</xdr:col>
      <xdr:colOff>403860</xdr:colOff>
      <xdr:row>4</xdr:row>
      <xdr:rowOff>0</xdr:rowOff>
    </xdr:to>
    <xdr:sp macro="[0]!Refresh" textlink="">
      <xdr:nvSpPr>
        <xdr:cNvPr id="2" name="圆角矩形 1"/>
        <xdr:cNvSpPr/>
      </xdr:nvSpPr>
      <xdr:spPr>
        <a:xfrm>
          <a:off x="4495800" y="784860"/>
          <a:ext cx="792480" cy="3429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400">
              <a:solidFill>
                <a:schemeClr val="bg1"/>
              </a:solidFill>
            </a:rPr>
            <a:t>Refresh</a:t>
          </a:r>
          <a:endParaRPr lang="en-US" sz="1400"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Oracle/SmartView/bin/HsTbar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HsDescription"/>
      <definedName name="HsGetValue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customProperty" Target="../customProperty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2"/>
  <sheetViews>
    <sheetView showGridLines="0" tabSelected="1" zoomScaleNormal="100" workbookViewId="0">
      <pane ySplit="6" topLeftCell="A7" activePane="bottomLeft" state="frozen"/>
      <selection activeCell="M25" sqref="M25"/>
      <selection pane="bottomLeft" activeCell="Q14" sqref="Q14"/>
    </sheetView>
  </sheetViews>
  <sheetFormatPr defaultRowHeight="13.2"/>
  <cols>
    <col min="1" max="1" width="5.77734375" style="2" bestFit="1" customWidth="1"/>
    <col min="2" max="2" width="11" style="2" customWidth="1"/>
    <col min="3" max="3" width="7.88671875" style="1" customWidth="1"/>
    <col min="4" max="4" width="9.6640625" style="1" customWidth="1"/>
    <col min="5" max="5" width="15.109375" style="61" hidden="1" customWidth="1"/>
    <col min="6" max="6" width="11" style="1" hidden="1" customWidth="1"/>
    <col min="7" max="7" width="18.109375" style="61" hidden="1" customWidth="1"/>
    <col min="8" max="8" width="2.44140625" style="61" hidden="1" customWidth="1"/>
    <col min="9" max="9" width="13.109375" style="61" customWidth="1"/>
    <col min="10" max="10" width="29.88671875" style="1" hidden="1" customWidth="1"/>
    <col min="11" max="11" width="144.109375" style="1" hidden="1" customWidth="1"/>
    <col min="12" max="16384" width="8.88671875" style="1"/>
  </cols>
  <sheetData>
    <row r="1" spans="1:11" ht="29.4" customHeight="1">
      <c r="A1" s="83" t="s">
        <v>114</v>
      </c>
      <c r="B1" s="83"/>
      <c r="C1" s="83"/>
      <c r="D1" s="83"/>
    </row>
    <row r="2" spans="1:11" ht="19.8" customHeight="1">
      <c r="A2" s="82" t="s">
        <v>0</v>
      </c>
      <c r="B2" s="82"/>
      <c r="C2" s="82"/>
      <c r="D2" s="82"/>
      <c r="J2" s="26" t="s">
        <v>51</v>
      </c>
      <c r="K2" s="26" t="str">
        <f>";Scenario#Actual;Year#"&amp;$B$4&amp;";Period#"&amp;$D$4&amp;";View#YTD;Value#&lt;Entity Currency&gt;;ICP#[ICP None];Custom1#[None];Custom2#[None];Custom3#[None];Custom4#PackageTotal"</f>
        <v>;Scenario#Actual;Year#;Period#;View#YTD;Value#&lt;Entity Currency&gt;;ICP#[ICP None];Custom1#[None];Custom2#[None];Custom3#[None];Custom4#PackageTotal</v>
      </c>
    </row>
    <row r="3" spans="1:11" ht="19.8" customHeight="1">
      <c r="A3" s="27" t="s">
        <v>46</v>
      </c>
      <c r="B3" s="84" t="s">
        <v>47</v>
      </c>
      <c r="C3" s="85"/>
      <c r="D3" s="86"/>
      <c r="J3" s="26" t="s">
        <v>53</v>
      </c>
      <c r="K3" s="26" t="str">
        <f>";Scenario#Actual;Year#"&amp;$B$4&amp;";Period#"&amp;$D$4&amp;";View#YTD;Value#&lt;Entity Curr Adjs&gt;;ICP#[ICP None];Custom1#[None];Custom2#[None];Custom3#[None];Custom4#PackageTotal"</f>
        <v>;Scenario#Actual;Year#;Period#;View#YTD;Value#&lt;Entity Curr Adjs&gt;;ICP#[ICP None];Custom1#[None];Custom2#[None];Custom3#[None];Custom4#PackageTotal</v>
      </c>
    </row>
    <row r="4" spans="1:11" ht="19.8" customHeight="1">
      <c r="A4" s="27" t="s">
        <v>1</v>
      </c>
      <c r="B4" s="81"/>
      <c r="C4" s="27" t="s">
        <v>2</v>
      </c>
      <c r="D4" s="81"/>
      <c r="J4" s="26" t="s">
        <v>52</v>
      </c>
      <c r="K4" s="26" t="str">
        <f>";Scenario#Actual;Year#"&amp;$B$4&amp;";Period#"&amp;$D$4&amp;";View#YTD;Value#&lt;Entity Curr Total&gt;;ICP#[ICP None];Custom1#[None];Custom2#[None];Custom3#[None];Custom4#PackageTotal"</f>
        <v>;Scenario#Actual;Year#;Period#;View#YTD;Value#&lt;Entity Curr Total&gt;;ICP#[ICP None];Custom1#[None];Custom2#[None];Custom3#[None];Custom4#PackageTotal</v>
      </c>
    </row>
    <row r="5" spans="1:11" ht="19.8" customHeight="1">
      <c r="J5" s="26" t="s">
        <v>92</v>
      </c>
      <c r="K5" s="26" t="str">
        <f>";Scenario#Actual;Year#"&amp;$B$4&amp;";Period#"&amp;$D$4&amp;";View#YTD;Value#&lt;Entity Curr Total&gt;;ICP#[ICP Entities];Custom1#[None];Custom2#[None];Custom4#PackageTotal"</f>
        <v>;Scenario#Actual;Year#;Period#;View#YTD;Value#&lt;Entity Curr Total&gt;;ICP#[ICP Entities];Custom1#[None];Custom2#[None];Custom4#PackageTotal</v>
      </c>
    </row>
    <row r="6" spans="1:11" ht="19.8" customHeight="1">
      <c r="A6" s="29" t="s">
        <v>3</v>
      </c>
      <c r="B6" s="90" t="s">
        <v>82</v>
      </c>
      <c r="C6" s="91"/>
      <c r="D6" s="92"/>
      <c r="E6" s="60" t="s">
        <v>93</v>
      </c>
      <c r="F6" s="60" t="s">
        <v>94</v>
      </c>
      <c r="G6" s="60" t="s">
        <v>97</v>
      </c>
      <c r="H6" s="60" t="s">
        <v>98</v>
      </c>
      <c r="I6" s="65"/>
      <c r="J6" s="26" t="s">
        <v>74</v>
      </c>
      <c r="K6" s="26" t="str">
        <f>";Scenario#Actual;Year#"&amp;$B$4&amp;";Period#"&amp;$D$4&amp;";Entity#[None];Account#CLORate;View#YTD;Value#[None];ICP#[ICP None];Custom2#USD;Custom3#[None];Custom4#[None]"</f>
        <v>;Scenario#Actual;Year#;Period#;Entity#[None];Account#CLORate;View#YTD;Value#[None];ICP#[ICP None];Custom2#USD;Custom3#[None];Custom4#[None]</v>
      </c>
    </row>
    <row r="7" spans="1:11" ht="18.600000000000001" customHeight="1">
      <c r="A7" s="28">
        <v>1</v>
      </c>
      <c r="B7" s="87" t="s">
        <v>95</v>
      </c>
      <c r="C7" s="88"/>
      <c r="D7" s="89"/>
      <c r="E7" s="62" t="s">
        <v>96</v>
      </c>
      <c r="F7" s="59"/>
      <c r="G7" s="62" t="s">
        <v>96</v>
      </c>
      <c r="H7" s="62" t="s">
        <v>96</v>
      </c>
      <c r="I7" s="64"/>
      <c r="J7" s="26" t="s">
        <v>73</v>
      </c>
      <c r="K7" s="26" t="str">
        <f>";Scenario#Actual;Year#"&amp;$B$4&amp;";Period#"&amp;$D$4&amp;";Entity#[None];Account#AVGRate;View#YTD;Value#[None];ICP#[ICP None];Custom2#USD;Custom3#[None];Custom4#[None]"</f>
        <v>;Scenario#Actual;Year#;Period#;Entity#[None];Account#AVGRate;View#YTD;Value#[None];ICP#[ICP None];Custom2#USD;Custom3#[None];Custom4#[None]</v>
      </c>
    </row>
    <row r="8" spans="1:11" ht="18.600000000000001" customHeight="1">
      <c r="A8" s="28">
        <v>2</v>
      </c>
      <c r="B8" s="87" t="s">
        <v>48</v>
      </c>
      <c r="C8" s="88"/>
      <c r="D8" s="89"/>
      <c r="E8" s="62" t="s">
        <v>96</v>
      </c>
      <c r="F8" s="59"/>
      <c r="G8" s="62" t="s">
        <v>96</v>
      </c>
      <c r="H8" s="62" t="s">
        <v>96</v>
      </c>
      <c r="I8" s="64"/>
      <c r="J8" s="26" t="s">
        <v>108</v>
      </c>
      <c r="K8" s="26" t="str">
        <f>"Scenario#Actual;Year#"&amp;$B$4&amp;";Period#"&amp;$D$4&amp;";Entity#[None];Account#CLORate;View#YTD;Value#[None];ICP#[ICP None];Custom1#USD;Custom2#NTD;Custom3#[None];Custom4#[None]"</f>
        <v>Scenario#Actual;Year#;Period#;Entity#[None];Account#CLORate;View#YTD;Value#[None];ICP#[ICP None];Custom1#USD;Custom2#NTD;Custom3#[None];Custom4#[None]</v>
      </c>
    </row>
    <row r="9" spans="1:11" ht="18.600000000000001" customHeight="1">
      <c r="A9" s="28">
        <v>3</v>
      </c>
      <c r="B9" s="87" t="s">
        <v>49</v>
      </c>
      <c r="C9" s="88"/>
      <c r="D9" s="89"/>
      <c r="E9" s="62" t="s">
        <v>96</v>
      </c>
      <c r="F9" s="59"/>
      <c r="G9" s="62" t="s">
        <v>96</v>
      </c>
      <c r="H9" s="62" t="s">
        <v>96</v>
      </c>
      <c r="I9" s="64"/>
      <c r="J9" s="26" t="s">
        <v>109</v>
      </c>
      <c r="K9" s="26" t="str">
        <f>"Scenario#Actual;Year#"&amp;$B$4&amp;";Period#"&amp;$D$4&amp;";Entity#[None];Account#AVGRate;View#YTD;Value#[None];ICP#[ICP None];Custom1#USD;Custom2#NTD;Custom3#[None];Custom4#[None]"</f>
        <v>Scenario#Actual;Year#;Period#;Entity#[None];Account#AVGRate;View#YTD;Value#[None];ICP#[ICP None];Custom1#USD;Custom2#NTD;Custom3#[None];Custom4#[None]</v>
      </c>
    </row>
    <row r="10" spans="1:11" ht="18.600000000000001" customHeight="1">
      <c r="A10" s="28">
        <v>4</v>
      </c>
      <c r="B10" s="87" t="s">
        <v>113</v>
      </c>
      <c r="C10" s="88"/>
      <c r="D10" s="89"/>
      <c r="E10" s="62" t="s">
        <v>96</v>
      </c>
      <c r="F10" s="76"/>
      <c r="G10" s="62" t="s">
        <v>96</v>
      </c>
      <c r="H10" s="62" t="s">
        <v>96</v>
      </c>
      <c r="I10" s="64"/>
      <c r="J10" s="26"/>
      <c r="K10" s="26"/>
    </row>
    <row r="11" spans="1:11" ht="18.600000000000001" customHeight="1">
      <c r="A11" s="28">
        <v>5</v>
      </c>
      <c r="B11" s="87" t="s">
        <v>112</v>
      </c>
      <c r="C11" s="88"/>
      <c r="D11" s="89"/>
      <c r="E11" s="62" t="s">
        <v>96</v>
      </c>
      <c r="F11" s="63"/>
      <c r="G11" s="62" t="s">
        <v>96</v>
      </c>
      <c r="H11" s="62" t="s">
        <v>96</v>
      </c>
      <c r="I11" s="64"/>
      <c r="J11" s="1" t="s">
        <v>99</v>
      </c>
      <c r="K11" s="26" t="str">
        <f>";Scenario#Actual;Year#"&amp;$B$4&amp;";Period#"&amp;$D$4&amp;";View#YTD;Value#&lt;Entity Currency&gt;;ICP#[ICP Entities];Custom1#[None];Custom2#[None];Custom3#[None];Custom4#[None]"</f>
        <v>;Scenario#Actual;Year#;Period#;View#YTD;Value#&lt;Entity Currency&gt;;ICP#[ICP Entities];Custom1#[None];Custom2#[None];Custom3#[None];Custom4#[None]</v>
      </c>
    </row>
    <row r="12" spans="1:11" ht="18.600000000000001" customHeight="1">
      <c r="A12" s="28">
        <v>6</v>
      </c>
      <c r="B12" s="87" t="s">
        <v>111</v>
      </c>
      <c r="C12" s="88"/>
      <c r="D12" s="89"/>
      <c r="E12" s="62" t="s">
        <v>96</v>
      </c>
      <c r="F12" s="59"/>
      <c r="G12" s="62" t="s">
        <v>96</v>
      </c>
      <c r="H12" s="62" t="s">
        <v>96</v>
      </c>
      <c r="I12" s="64"/>
    </row>
  </sheetData>
  <sheetProtection algorithmName="SHA-512" hashValue="WSjazMrAivGaBQCEJMELch9n37yNtjnQBRVj6AVIr6zq9bxB25zDnOndV7FX+KlodT90PoRqjiomWb6zBP+XeQ==" saltValue="1uRn9lIHbDTXzh5KdRgZGw==" spinCount="100000" sheet="1" objects="1" scenarios="1"/>
  <mergeCells count="10">
    <mergeCell ref="A2:D2"/>
    <mergeCell ref="A1:D1"/>
    <mergeCell ref="B3:D3"/>
    <mergeCell ref="B12:D12"/>
    <mergeCell ref="B10:D10"/>
    <mergeCell ref="B6:D6"/>
    <mergeCell ref="B7:D7"/>
    <mergeCell ref="B11:D11"/>
    <mergeCell ref="B8:D8"/>
    <mergeCell ref="B9:D9"/>
  </mergeCells>
  <dataValidations count="2">
    <dataValidation type="list" allowBlank="1" showInputMessage="1" showErrorMessage="1" sqref="B4">
      <formula1>"2017,2018,2019,2020,2021,2022,2023,2024,2025,2026,2027,2028,2029,2030"</formula1>
    </dataValidation>
    <dataValidation type="list" allowBlank="1" showInputMessage="1" showErrorMessage="1" sqref="D4">
      <formula1>"JAN,FEB,MAR,APR,MAY,JUN,JUL,AUG,SEP,OCT,NOV,DEC"</formula1>
    </dataValidation>
  </dataValidations>
  <pageMargins left="0.75" right="0.75" top="1" bottom="1" header="0.5" footer="0.5"/>
  <headerFooter alignWithMargins="0"/>
  <customProperties>
    <customPr name="SheetOptions" r:id="rId1"/>
    <customPr name="WORKBKFUNCTIONCACHE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50"/>
  <sheetViews>
    <sheetView showGridLines="0" zoomScaleNormal="100" workbookViewId="0">
      <pane xSplit="4" ySplit="2" topLeftCell="E3" activePane="bottomRight" state="frozen"/>
      <selection activeCell="M25" sqref="M25"/>
      <selection pane="topRight" activeCell="M25" sqref="M25"/>
      <selection pane="bottomLeft" activeCell="M25" sqref="M25"/>
      <selection pane="bottomRight" activeCell="F17" sqref="F17"/>
    </sheetView>
  </sheetViews>
  <sheetFormatPr defaultRowHeight="13.2"/>
  <cols>
    <col min="1" max="1" width="15" style="1" hidden="1" customWidth="1"/>
    <col min="2" max="2" width="9" style="1" bestFit="1" customWidth="1"/>
    <col min="3" max="3" width="53.5546875" style="2" bestFit="1" customWidth="1"/>
    <col min="4" max="4" width="11" style="2" bestFit="1" customWidth="1"/>
    <col min="5" max="5" width="18.5546875" style="6" bestFit="1" customWidth="1"/>
    <col min="6" max="6" width="12.88671875" style="6" bestFit="1" customWidth="1"/>
    <col min="7" max="7" width="15.109375" style="6" bestFit="1" customWidth="1"/>
    <col min="8" max="8" width="14.21875" style="6" bestFit="1" customWidth="1"/>
    <col min="9" max="9" width="11.88671875" style="6" bestFit="1" customWidth="1"/>
    <col min="10" max="10" width="9.88671875" style="6" bestFit="1" customWidth="1"/>
    <col min="11" max="11" width="12.5546875" style="6" bestFit="1" customWidth="1"/>
    <col min="12" max="12" width="15.109375" style="6" bestFit="1" customWidth="1"/>
    <col min="13" max="13" width="16.33203125" style="75" hidden="1" customWidth="1"/>
    <col min="14" max="14" width="18.5546875" style="6" bestFit="1" customWidth="1"/>
    <col min="15" max="17" width="12.88671875" style="6" bestFit="1" customWidth="1"/>
    <col min="18" max="18" width="11.88671875" style="6" bestFit="1" customWidth="1"/>
    <col min="19" max="19" width="9.88671875" style="6" bestFit="1" customWidth="1"/>
    <col min="20" max="20" width="14.21875" style="6" bestFit="1" customWidth="1"/>
    <col min="21" max="21" width="30.21875" style="6" bestFit="1" customWidth="1"/>
    <col min="22" max="22" width="21.77734375" style="6" bestFit="1" customWidth="1"/>
    <col min="23" max="16384" width="8.88671875" style="1"/>
  </cols>
  <sheetData>
    <row r="1" spans="1:22" ht="18" customHeight="1">
      <c r="B1" s="41"/>
      <c r="C1" s="42"/>
      <c r="D1" s="42"/>
      <c r="E1" s="93" t="s">
        <v>88</v>
      </c>
      <c r="F1" s="94"/>
      <c r="G1" s="94"/>
      <c r="H1" s="94"/>
      <c r="I1" s="94"/>
      <c r="J1" s="94"/>
      <c r="K1" s="94"/>
      <c r="L1" s="95"/>
      <c r="M1" s="70"/>
      <c r="N1" s="93" t="s">
        <v>90</v>
      </c>
      <c r="O1" s="94"/>
      <c r="P1" s="94"/>
      <c r="Q1" s="94"/>
      <c r="R1" s="94"/>
      <c r="S1" s="94"/>
      <c r="T1" s="95"/>
      <c r="U1" s="50"/>
      <c r="V1" s="51"/>
    </row>
    <row r="2" spans="1:22" s="13" customFormat="1" ht="16.2" customHeight="1">
      <c r="A2" s="1"/>
      <c r="B2" s="14" t="s">
        <v>4</v>
      </c>
      <c r="C2" s="15" t="s">
        <v>5</v>
      </c>
      <c r="D2" s="30" t="s">
        <v>87</v>
      </c>
      <c r="E2" s="25" t="s">
        <v>54</v>
      </c>
      <c r="F2" s="16" t="s">
        <v>55</v>
      </c>
      <c r="G2" s="16" t="s">
        <v>56</v>
      </c>
      <c r="H2" s="16" t="s">
        <v>57</v>
      </c>
      <c r="I2" s="16" t="s">
        <v>58</v>
      </c>
      <c r="J2" s="16" t="s">
        <v>59</v>
      </c>
      <c r="K2" s="56" t="s">
        <v>91</v>
      </c>
      <c r="L2" s="17" t="s">
        <v>60</v>
      </c>
      <c r="M2" s="71" t="s">
        <v>86</v>
      </c>
      <c r="N2" s="33" t="s">
        <v>54</v>
      </c>
      <c r="O2" s="16" t="s">
        <v>55</v>
      </c>
      <c r="P2" s="16" t="s">
        <v>56</v>
      </c>
      <c r="Q2" s="16" t="s">
        <v>57</v>
      </c>
      <c r="R2" s="16" t="s">
        <v>58</v>
      </c>
      <c r="S2" s="16" t="s">
        <v>59</v>
      </c>
      <c r="T2" s="17" t="s">
        <v>60</v>
      </c>
      <c r="U2" s="37" t="s">
        <v>89</v>
      </c>
      <c r="V2" s="52" t="s">
        <v>119</v>
      </c>
    </row>
    <row r="3" spans="1:22">
      <c r="A3" s="1" t="s">
        <v>50</v>
      </c>
      <c r="B3" s="9" t="s">
        <v>6</v>
      </c>
      <c r="C3" s="3" t="str">
        <f>[1]!HsDescription(conn,"Entity#"&amp;B3)</f>
        <v>#NEED_REFRESH</v>
      </c>
      <c r="D3" s="31" t="s">
        <v>71</v>
      </c>
      <c r="E3" s="45" t="e">
        <f>[1]!HsGetValue(conn,"Entity#"&amp;B3&amp;";Account#"&amp;$A$6&amp;大表科目本位幣調整前)+K3</f>
        <v>#VALUE!</v>
      </c>
      <c r="F3" s="7" t="str">
        <f>[1]!HsGetValue(conn,"Entity#"&amp;B3&amp;";Account#"&amp;$A$7&amp;大表科目本位幣調整前)</f>
        <v>#NEED_REFRESH</v>
      </c>
      <c r="G3" s="7" t="str">
        <f>[1]!HsGetValue(conn,"Entity#"&amp;B3&amp;";Account#"&amp;$A$8&amp;大表科目本位幣調整前)</f>
        <v>#NEED_REFRESH</v>
      </c>
      <c r="H3" s="7" t="str">
        <f>[1]!HsGetValue(conn,"Entity#"&amp;B3&amp;";Account#"&amp;$A$9&amp;大表科目本位幣調整前)</f>
        <v>#NEED_REFRESH</v>
      </c>
      <c r="I3" s="7" t="str">
        <f>[1]!HsGetValue(conn,"Entity#"&amp;B3&amp;";Account#"&amp;$A$10&amp;大表科目本位幣調整前)</f>
        <v>#NEED_REFRESH</v>
      </c>
      <c r="J3" s="7" t="str">
        <f>[1]!HsGetValue(conn,"Entity#"&amp;B3&amp;";Account#"&amp;$A$11&amp;大表科目本位幣調整前)</f>
        <v>#NEED_REFRESH</v>
      </c>
      <c r="K3" s="7" t="str">
        <f>[1]!HsGetValue(conn,"Entity#"&amp;B3&amp;";Account#"&amp;$A$12&amp;大表科目本位幣調整前)</f>
        <v>#NEED_REFRESH</v>
      </c>
      <c r="L3" s="12" t="e">
        <f>SUM(E3:J3)</f>
        <v>#VALUE!</v>
      </c>
      <c r="M3" s="72">
        <f>IF($D3="USD",1,IF($D3="NTD",1/[1]!HsGetValue(conn,USD換算成NTD的期末匯率),[1]!HsGetValue(conn,"Custom1#"&amp;$D3&amp;換算成USD的期末匯率)))</f>
        <v>1</v>
      </c>
      <c r="N3" s="34" t="e">
        <f t="shared" ref="N3:S3" si="0">E3*$M3</f>
        <v>#VALUE!</v>
      </c>
      <c r="O3" s="34" t="e">
        <f t="shared" si="0"/>
        <v>#VALUE!</v>
      </c>
      <c r="P3" s="34" t="e">
        <f t="shared" si="0"/>
        <v>#VALUE!</v>
      </c>
      <c r="Q3" s="34" t="e">
        <f t="shared" si="0"/>
        <v>#VALUE!</v>
      </c>
      <c r="R3" s="34" t="e">
        <f t="shared" si="0"/>
        <v>#VALUE!</v>
      </c>
      <c r="S3" s="34" t="e">
        <f t="shared" si="0"/>
        <v>#VALUE!</v>
      </c>
      <c r="T3" s="10" t="e">
        <f>SUM(N3:S3)</f>
        <v>#VALUE!</v>
      </c>
      <c r="U3" s="40" t="e">
        <f>[1]!HsGetValue(conn,"Entity#"&amp;B3&amp;";Account#"&amp;$A$3&amp;大表科目本位幣調整后)*M3</f>
        <v>#VALUE!</v>
      </c>
      <c r="V3" s="53">
        <f>IFERROR(T3-U3,0)</f>
        <v>0</v>
      </c>
    </row>
    <row r="4" spans="1:22">
      <c r="B4" s="9" t="s">
        <v>120</v>
      </c>
      <c r="C4" s="3" t="str">
        <f>[1]!HsDescription(conn,"Entity#"&amp;B4)</f>
        <v>#NEED_REFRESH</v>
      </c>
      <c r="D4" s="31" t="s">
        <v>71</v>
      </c>
      <c r="E4" s="45" t="e">
        <f>[1]!HsGetValue(conn,"Entity#"&amp;B4&amp;";Account#"&amp;$A$6&amp;大表科目本位幣調整前)+K4</f>
        <v>#VALUE!</v>
      </c>
      <c r="F4" s="7" t="str">
        <f>[1]!HsGetValue(conn,"Entity#"&amp;B4&amp;";Account#"&amp;$A$7&amp;大表科目本位幣調整前)</f>
        <v>#NEED_REFRESH</v>
      </c>
      <c r="G4" s="7" t="str">
        <f>[1]!HsGetValue(conn,"Entity#"&amp;B4&amp;";Account#"&amp;$A$8&amp;大表科目本位幣調整前)</f>
        <v>#NEED_REFRESH</v>
      </c>
      <c r="H4" s="7" t="str">
        <f>[1]!HsGetValue(conn,"Entity#"&amp;B4&amp;";Account#"&amp;$A$9&amp;大表科目本位幣調整前)</f>
        <v>#NEED_REFRESH</v>
      </c>
      <c r="I4" s="7" t="str">
        <f>[1]!HsGetValue(conn,"Entity#"&amp;B4&amp;";Account#"&amp;$A$10&amp;大表科目本位幣調整前)</f>
        <v>#NEED_REFRESH</v>
      </c>
      <c r="J4" s="7" t="str">
        <f>[1]!HsGetValue(conn,"Entity#"&amp;B4&amp;";Account#"&amp;$A$11&amp;大表科目本位幣調整前)</f>
        <v>#NEED_REFRESH</v>
      </c>
      <c r="K4" s="7" t="str">
        <f>[1]!HsGetValue(conn,"Entity#"&amp;B4&amp;";Account#"&amp;$A$12&amp;大表科目本位幣調整前)</f>
        <v>#NEED_REFRESH</v>
      </c>
      <c r="L4" s="12" t="e">
        <f t="shared" ref="L4:L5" si="1">SUM(E4:J4)</f>
        <v>#VALUE!</v>
      </c>
      <c r="M4" s="72">
        <f>IF($D4="USD",1,IF($D4="NTD",1/[1]!HsGetValue(conn,USD換算成NTD的期末匯率),[1]!HsGetValue(conn,"Custom1#"&amp;$D4&amp;換算成USD的期末匯率)))</f>
        <v>1</v>
      </c>
      <c r="N4" s="34" t="e">
        <f t="shared" ref="N4:N5" si="2">E4*$M4</f>
        <v>#VALUE!</v>
      </c>
      <c r="O4" s="34" t="e">
        <f t="shared" ref="O4:O5" si="3">F4*$M4</f>
        <v>#VALUE!</v>
      </c>
      <c r="P4" s="34" t="e">
        <f t="shared" ref="P4:P5" si="4">G4*$M4</f>
        <v>#VALUE!</v>
      </c>
      <c r="Q4" s="34" t="e">
        <f t="shared" ref="Q4:Q5" si="5">H4*$M4</f>
        <v>#VALUE!</v>
      </c>
      <c r="R4" s="34" t="e">
        <f t="shared" ref="R4:R5" si="6">I4*$M4</f>
        <v>#VALUE!</v>
      </c>
      <c r="S4" s="34" t="e">
        <f t="shared" ref="S4:S5" si="7">J4*$M4</f>
        <v>#VALUE!</v>
      </c>
      <c r="T4" s="10" t="e">
        <f t="shared" ref="T4:T5" si="8">SUM(N4:S4)</f>
        <v>#VALUE!</v>
      </c>
      <c r="U4" s="40" t="e">
        <f>[1]!HsGetValue(conn,"Entity#"&amp;B4&amp;";Account#"&amp;$A$3&amp;大表科目本位幣調整后)*M4</f>
        <v>#VALUE!</v>
      </c>
      <c r="V4" s="53">
        <f t="shared" ref="V4:V5" si="9">IFERROR(T4-U4,0)</f>
        <v>0</v>
      </c>
    </row>
    <row r="5" spans="1:22">
      <c r="B5" s="9" t="s">
        <v>121</v>
      </c>
      <c r="C5" s="3" t="str">
        <f>[1]!HsDescription(conn,"Entity#"&amp;B5)</f>
        <v>#NEED_REFRESH</v>
      </c>
      <c r="D5" s="31" t="s">
        <v>72</v>
      </c>
      <c r="E5" s="45" t="e">
        <f>[1]!HsGetValue(conn,"Entity#"&amp;B5&amp;";Account#"&amp;$A$6&amp;大表科目本位幣調整前)+K5</f>
        <v>#VALUE!</v>
      </c>
      <c r="F5" s="7" t="str">
        <f>[1]!HsGetValue(conn,"Entity#"&amp;B5&amp;";Account#"&amp;$A$7&amp;大表科目本位幣調整前)</f>
        <v>#NEED_REFRESH</v>
      </c>
      <c r="G5" s="7" t="str">
        <f>[1]!HsGetValue(conn,"Entity#"&amp;B5&amp;";Account#"&amp;$A$8&amp;大表科目本位幣調整前)</f>
        <v>#NEED_REFRESH</v>
      </c>
      <c r="H5" s="7" t="str">
        <f>[1]!HsGetValue(conn,"Entity#"&amp;B5&amp;";Account#"&amp;$A$9&amp;大表科目本位幣調整前)</f>
        <v>#NEED_REFRESH</v>
      </c>
      <c r="I5" s="7" t="str">
        <f>[1]!HsGetValue(conn,"Entity#"&amp;B5&amp;";Account#"&amp;$A$10&amp;大表科目本位幣調整前)</f>
        <v>#NEED_REFRESH</v>
      </c>
      <c r="J5" s="7" t="str">
        <f>[1]!HsGetValue(conn,"Entity#"&amp;B5&amp;";Account#"&amp;$A$11&amp;大表科目本位幣調整前)</f>
        <v>#NEED_REFRESH</v>
      </c>
      <c r="K5" s="7" t="str">
        <f>[1]!HsGetValue(conn,"Entity#"&amp;B5&amp;";Account#"&amp;$A$12&amp;大表科目本位幣調整前)</f>
        <v>#NEED_REFRESH</v>
      </c>
      <c r="L5" s="12" t="e">
        <f t="shared" si="1"/>
        <v>#VALUE!</v>
      </c>
      <c r="M5" s="72" t="e">
        <f>IF($D5="USD",1,IF($D5="NTD",1/[1]!HsGetValue(conn,USD換算成NTD的期末匯率),[1]!HsGetValue(conn,"Custom1#"&amp;$D5&amp;換算成USD的期末匯率)))</f>
        <v>#VALUE!</v>
      </c>
      <c r="N5" s="34" t="e">
        <f t="shared" si="2"/>
        <v>#VALUE!</v>
      </c>
      <c r="O5" s="34" t="e">
        <f t="shared" si="3"/>
        <v>#VALUE!</v>
      </c>
      <c r="P5" s="34" t="e">
        <f t="shared" si="4"/>
        <v>#VALUE!</v>
      </c>
      <c r="Q5" s="34" t="e">
        <f t="shared" si="5"/>
        <v>#VALUE!</v>
      </c>
      <c r="R5" s="34" t="e">
        <f t="shared" si="6"/>
        <v>#VALUE!</v>
      </c>
      <c r="S5" s="34" t="e">
        <f t="shared" si="7"/>
        <v>#VALUE!</v>
      </c>
      <c r="T5" s="10" t="e">
        <f t="shared" si="8"/>
        <v>#VALUE!</v>
      </c>
      <c r="U5" s="40" t="e">
        <f>[1]!HsGetValue(conn,"Entity#"&amp;B5&amp;";Account#"&amp;$A$3&amp;大表科目本位幣調整后)*M5</f>
        <v>#VALUE!</v>
      </c>
      <c r="V5" s="53">
        <f t="shared" si="9"/>
        <v>0</v>
      </c>
    </row>
    <row r="6" spans="1:22">
      <c r="A6" s="4">
        <v>110001</v>
      </c>
      <c r="B6" s="9" t="s">
        <v>7</v>
      </c>
      <c r="C6" s="3" t="str">
        <f>[1]!HsDescription(conn,"Entity#"&amp;B6)</f>
        <v>#NEED_REFRESH</v>
      </c>
      <c r="D6" s="31" t="s">
        <v>71</v>
      </c>
      <c r="E6" s="45" t="e">
        <f>[1]!HsGetValue(conn,"Entity#"&amp;B6&amp;";Account#"&amp;$A$6&amp;大表科目本位幣調整前)+K6</f>
        <v>#VALUE!</v>
      </c>
      <c r="F6" s="7" t="str">
        <f>[1]!HsGetValue(conn,"Entity#"&amp;B6&amp;";Account#"&amp;$A$7&amp;大表科目本位幣調整前)</f>
        <v>#NEED_REFRESH</v>
      </c>
      <c r="G6" s="7" t="str">
        <f>[1]!HsGetValue(conn,"Entity#"&amp;B6&amp;";Account#"&amp;$A$8&amp;大表科目本位幣調整前)</f>
        <v>#NEED_REFRESH</v>
      </c>
      <c r="H6" s="7" t="str">
        <f>[1]!HsGetValue(conn,"Entity#"&amp;B6&amp;";Account#"&amp;$A$9&amp;大表科目本位幣調整前)</f>
        <v>#NEED_REFRESH</v>
      </c>
      <c r="I6" s="7" t="str">
        <f>[1]!HsGetValue(conn,"Entity#"&amp;B6&amp;";Account#"&amp;$A$10&amp;大表科目本位幣調整前)</f>
        <v>#NEED_REFRESH</v>
      </c>
      <c r="J6" s="7" t="str">
        <f>[1]!HsGetValue(conn,"Entity#"&amp;B6&amp;";Account#"&amp;$A$11&amp;大表科目本位幣調整前)</f>
        <v>#NEED_REFRESH</v>
      </c>
      <c r="K6" s="7" t="str">
        <f>[1]!HsGetValue(conn,"Entity#"&amp;B6&amp;";Account#"&amp;$A$12&amp;大表科目本位幣調整前)</f>
        <v>#NEED_REFRESH</v>
      </c>
      <c r="L6" s="10" t="e">
        <f t="shared" ref="L6:L44" si="10">SUM(E6:J6)</f>
        <v>#VALUE!</v>
      </c>
      <c r="M6" s="72">
        <f>IF($D6="USD",1,IF($D6="NTD",1/[1]!HsGetValue(conn,USD換算成NTD的期末匯率),[1]!HsGetValue(conn,"Custom1#"&amp;$D6&amp;換算成USD的期末匯率)))</f>
        <v>1</v>
      </c>
      <c r="N6" s="34" t="e">
        <f t="shared" ref="N6:N44" si="11">E6*$M6</f>
        <v>#VALUE!</v>
      </c>
      <c r="O6" s="34" t="e">
        <f t="shared" ref="O6:O44" si="12">F6*$M6</f>
        <v>#VALUE!</v>
      </c>
      <c r="P6" s="34" t="e">
        <f t="shared" ref="P6:P44" si="13">G6*$M6</f>
        <v>#VALUE!</v>
      </c>
      <c r="Q6" s="34" t="e">
        <f t="shared" ref="Q6:Q44" si="14">H6*$M6</f>
        <v>#VALUE!</v>
      </c>
      <c r="R6" s="34" t="e">
        <f t="shared" ref="R6:R44" si="15">I6*$M6</f>
        <v>#VALUE!</v>
      </c>
      <c r="S6" s="34" t="e">
        <f t="shared" ref="S6:S44" si="16">J6*$M6</f>
        <v>#VALUE!</v>
      </c>
      <c r="T6" s="10" t="e">
        <f t="shared" ref="T6:T44" si="17">SUM(N6:S6)</f>
        <v>#VALUE!</v>
      </c>
      <c r="U6" s="40" t="e">
        <f>[1]!HsGetValue(conn,"Entity#"&amp;B6&amp;";Account#"&amp;$A$3&amp;大表科目本位幣調整后)*M6</f>
        <v>#VALUE!</v>
      </c>
      <c r="V6" s="53">
        <f t="shared" ref="V6:V46" si="18">IFERROR(T6-U6,0)</f>
        <v>0</v>
      </c>
    </row>
    <row r="7" spans="1:22">
      <c r="A7" s="4">
        <v>110002</v>
      </c>
      <c r="B7" s="9" t="s">
        <v>8</v>
      </c>
      <c r="C7" s="3" t="str">
        <f>[1]!HsDescription(conn,"Entity#"&amp;B7)</f>
        <v>#NEED_REFRESH</v>
      </c>
      <c r="D7" s="31" t="s">
        <v>71</v>
      </c>
      <c r="E7" s="45" t="e">
        <f>[1]!HsGetValue(conn,"Entity#"&amp;B7&amp;";Account#"&amp;$A$6&amp;大表科目本位幣調整前)+K7</f>
        <v>#VALUE!</v>
      </c>
      <c r="F7" s="7" t="str">
        <f>[1]!HsGetValue(conn,"Entity#"&amp;B7&amp;";Account#"&amp;$A$7&amp;大表科目本位幣調整前)</f>
        <v>#NEED_REFRESH</v>
      </c>
      <c r="G7" s="7" t="str">
        <f>[1]!HsGetValue(conn,"Entity#"&amp;B7&amp;";Account#"&amp;$A$8&amp;大表科目本位幣調整前)</f>
        <v>#NEED_REFRESH</v>
      </c>
      <c r="H7" s="7" t="str">
        <f>[1]!HsGetValue(conn,"Entity#"&amp;B7&amp;";Account#"&amp;$A$9&amp;大表科目本位幣調整前)</f>
        <v>#NEED_REFRESH</v>
      </c>
      <c r="I7" s="7" t="str">
        <f>[1]!HsGetValue(conn,"Entity#"&amp;B7&amp;";Account#"&amp;$A$10&amp;大表科目本位幣調整前)</f>
        <v>#NEED_REFRESH</v>
      </c>
      <c r="J7" s="7" t="str">
        <f>[1]!HsGetValue(conn,"Entity#"&amp;B7&amp;";Account#"&amp;$A$11&amp;大表科目本位幣調整前)</f>
        <v>#NEED_REFRESH</v>
      </c>
      <c r="K7" s="7" t="str">
        <f>[1]!HsGetValue(conn,"Entity#"&amp;B7&amp;";Account#"&amp;$A$12&amp;大表科目本位幣調整前)</f>
        <v>#NEED_REFRESH</v>
      </c>
      <c r="L7" s="32" t="e">
        <f t="shared" si="10"/>
        <v>#VALUE!</v>
      </c>
      <c r="M7" s="72">
        <f>IF($D7="USD",1,IF($D7="NTD",1/[1]!HsGetValue(conn,USD換算成NTD的期末匯率),[1]!HsGetValue(conn,"Custom1#"&amp;$D7&amp;換算成USD的期末匯率)))</f>
        <v>1</v>
      </c>
      <c r="N7" s="34" t="e">
        <f t="shared" si="11"/>
        <v>#VALUE!</v>
      </c>
      <c r="O7" s="34" t="e">
        <f t="shared" si="12"/>
        <v>#VALUE!</v>
      </c>
      <c r="P7" s="34" t="e">
        <f t="shared" si="13"/>
        <v>#VALUE!</v>
      </c>
      <c r="Q7" s="34" t="e">
        <f t="shared" si="14"/>
        <v>#VALUE!</v>
      </c>
      <c r="R7" s="34" t="e">
        <f t="shared" si="15"/>
        <v>#VALUE!</v>
      </c>
      <c r="S7" s="34" t="e">
        <f t="shared" si="16"/>
        <v>#VALUE!</v>
      </c>
      <c r="T7" s="10" t="e">
        <f t="shared" si="17"/>
        <v>#VALUE!</v>
      </c>
      <c r="U7" s="40" t="e">
        <f>[1]!HsGetValue(conn,"Entity#"&amp;B7&amp;";Account#"&amp;$A$3&amp;大表科目本位幣調整后)*M7</f>
        <v>#VALUE!</v>
      </c>
      <c r="V7" s="53">
        <f t="shared" si="18"/>
        <v>0</v>
      </c>
    </row>
    <row r="8" spans="1:22">
      <c r="A8" s="4">
        <v>110003</v>
      </c>
      <c r="B8" s="9" t="s">
        <v>9</v>
      </c>
      <c r="C8" s="3" t="str">
        <f>[1]!HsDescription(conn,"Entity#"&amp;B8)</f>
        <v>#NEED_REFRESH</v>
      </c>
      <c r="D8" s="31" t="s">
        <v>75</v>
      </c>
      <c r="E8" s="45" t="e">
        <f>[1]!HsGetValue(conn,"Entity#"&amp;B8&amp;";Account#"&amp;$A$6&amp;大表科目本位幣調整前)+K8</f>
        <v>#VALUE!</v>
      </c>
      <c r="F8" s="7" t="str">
        <f>[1]!HsGetValue(conn,"Entity#"&amp;B8&amp;";Account#"&amp;$A$7&amp;大表科目本位幣調整前)</f>
        <v>#NEED_REFRESH</v>
      </c>
      <c r="G8" s="7" t="str">
        <f>[1]!HsGetValue(conn,"Entity#"&amp;B8&amp;";Account#"&amp;$A$8&amp;大表科目本位幣調整前)</f>
        <v>#NEED_REFRESH</v>
      </c>
      <c r="H8" s="7" t="str">
        <f>[1]!HsGetValue(conn,"Entity#"&amp;B8&amp;";Account#"&amp;$A$9&amp;大表科目本位幣調整前)</f>
        <v>#NEED_REFRESH</v>
      </c>
      <c r="I8" s="7" t="str">
        <f>[1]!HsGetValue(conn,"Entity#"&amp;B8&amp;";Account#"&amp;$A$10&amp;大表科目本位幣調整前)</f>
        <v>#NEED_REFRESH</v>
      </c>
      <c r="J8" s="7" t="str">
        <f>[1]!HsGetValue(conn,"Entity#"&amp;B8&amp;";Account#"&amp;$A$11&amp;大表科目本位幣調整前)</f>
        <v>#NEED_REFRESH</v>
      </c>
      <c r="K8" s="7" t="str">
        <f>[1]!HsGetValue(conn,"Entity#"&amp;B8&amp;";Account#"&amp;$A$12&amp;大表科目本位幣調整前)</f>
        <v>#NEED_REFRESH</v>
      </c>
      <c r="L8" s="10" t="e">
        <f t="shared" si="10"/>
        <v>#VALUE!</v>
      </c>
      <c r="M8" s="72" t="str">
        <f>IF($D8="USD",1,IF($D8="NTD",1/[1]!HsGetValue(conn,USD換算成NTD的期末匯率),[1]!HsGetValue(conn,"Custom1#"&amp;$D8&amp;換算成USD的期末匯率)))</f>
        <v>#NEED_REFRESH</v>
      </c>
      <c r="N8" s="34" t="e">
        <f t="shared" si="11"/>
        <v>#VALUE!</v>
      </c>
      <c r="O8" s="34" t="e">
        <f t="shared" si="12"/>
        <v>#VALUE!</v>
      </c>
      <c r="P8" s="34" t="e">
        <f t="shared" si="13"/>
        <v>#VALUE!</v>
      </c>
      <c r="Q8" s="34" t="e">
        <f t="shared" si="14"/>
        <v>#VALUE!</v>
      </c>
      <c r="R8" s="34" t="e">
        <f t="shared" si="15"/>
        <v>#VALUE!</v>
      </c>
      <c r="S8" s="34" t="e">
        <f t="shared" si="16"/>
        <v>#VALUE!</v>
      </c>
      <c r="T8" s="10" t="e">
        <f t="shared" si="17"/>
        <v>#VALUE!</v>
      </c>
      <c r="U8" s="40" t="e">
        <f>[1]!HsGetValue(conn,"Entity#"&amp;B8&amp;";Account#"&amp;$A$3&amp;大表科目本位幣調整后)*M8</f>
        <v>#VALUE!</v>
      </c>
      <c r="V8" s="53">
        <f t="shared" si="18"/>
        <v>0</v>
      </c>
    </row>
    <row r="9" spans="1:22">
      <c r="A9" s="4">
        <v>110004</v>
      </c>
      <c r="B9" s="9" t="s">
        <v>10</v>
      </c>
      <c r="C9" s="3" t="str">
        <f>[1]!HsDescription(conn,"Entity#"&amp;B9)</f>
        <v>#NEED_REFRESH</v>
      </c>
      <c r="D9" s="31" t="s">
        <v>76</v>
      </c>
      <c r="E9" s="45" t="e">
        <f>[1]!HsGetValue(conn,"Entity#"&amp;B9&amp;";Account#"&amp;$A$6&amp;大表科目本位幣調整前)+K9</f>
        <v>#VALUE!</v>
      </c>
      <c r="F9" s="7" t="str">
        <f>[1]!HsGetValue(conn,"Entity#"&amp;B9&amp;";Account#"&amp;$A$7&amp;大表科目本位幣調整前)</f>
        <v>#NEED_REFRESH</v>
      </c>
      <c r="G9" s="7" t="str">
        <f>[1]!HsGetValue(conn,"Entity#"&amp;B9&amp;";Account#"&amp;$A$8&amp;大表科目本位幣調整前)</f>
        <v>#NEED_REFRESH</v>
      </c>
      <c r="H9" s="7" t="str">
        <f>[1]!HsGetValue(conn,"Entity#"&amp;B9&amp;";Account#"&amp;$A$9&amp;大表科目本位幣調整前)</f>
        <v>#NEED_REFRESH</v>
      </c>
      <c r="I9" s="7" t="str">
        <f>[1]!HsGetValue(conn,"Entity#"&amp;B9&amp;";Account#"&amp;$A$10&amp;大表科目本位幣調整前)</f>
        <v>#NEED_REFRESH</v>
      </c>
      <c r="J9" s="7" t="str">
        <f>[1]!HsGetValue(conn,"Entity#"&amp;B9&amp;";Account#"&amp;$A$11&amp;大表科目本位幣調整前)</f>
        <v>#NEED_REFRESH</v>
      </c>
      <c r="K9" s="7" t="str">
        <f>[1]!HsGetValue(conn,"Entity#"&amp;B9&amp;";Account#"&amp;$A$12&amp;大表科目本位幣調整前)</f>
        <v>#NEED_REFRESH</v>
      </c>
      <c r="L9" s="10" t="e">
        <f t="shared" si="10"/>
        <v>#VALUE!</v>
      </c>
      <c r="M9" s="72" t="str">
        <f>IF($D9="USD",1,IF($D9="NTD",1/[1]!HsGetValue(conn,USD換算成NTD的期末匯率),[1]!HsGetValue(conn,"Custom1#"&amp;$D9&amp;換算成USD的期末匯率)))</f>
        <v>#NEED_REFRESH</v>
      </c>
      <c r="N9" s="34" t="e">
        <f t="shared" si="11"/>
        <v>#VALUE!</v>
      </c>
      <c r="O9" s="34" t="e">
        <f t="shared" si="12"/>
        <v>#VALUE!</v>
      </c>
      <c r="P9" s="34" t="e">
        <f t="shared" si="13"/>
        <v>#VALUE!</v>
      </c>
      <c r="Q9" s="34" t="e">
        <f t="shared" si="14"/>
        <v>#VALUE!</v>
      </c>
      <c r="R9" s="34" t="e">
        <f t="shared" si="15"/>
        <v>#VALUE!</v>
      </c>
      <c r="S9" s="34" t="e">
        <f t="shared" si="16"/>
        <v>#VALUE!</v>
      </c>
      <c r="T9" s="10" t="e">
        <f t="shared" si="17"/>
        <v>#VALUE!</v>
      </c>
      <c r="U9" s="40" t="e">
        <f>[1]!HsGetValue(conn,"Entity#"&amp;B9&amp;";Account#"&amp;$A$3&amp;大表科目本位幣調整后)*M9</f>
        <v>#VALUE!</v>
      </c>
      <c r="V9" s="53">
        <f t="shared" si="18"/>
        <v>0</v>
      </c>
    </row>
    <row r="10" spans="1:22">
      <c r="A10" s="4">
        <v>110006</v>
      </c>
      <c r="B10" s="9" t="s">
        <v>11</v>
      </c>
      <c r="C10" s="3" t="str">
        <f>[1]!HsDescription(conn,"Entity#"&amp;B10)</f>
        <v>#NEED_REFRESH</v>
      </c>
      <c r="D10" s="31" t="s">
        <v>77</v>
      </c>
      <c r="E10" s="45" t="e">
        <f>[1]!HsGetValue(conn,"Entity#"&amp;B10&amp;";Account#"&amp;$A$6&amp;大表科目本位幣調整前)+K10</f>
        <v>#VALUE!</v>
      </c>
      <c r="F10" s="7" t="str">
        <f>[1]!HsGetValue(conn,"Entity#"&amp;B10&amp;";Account#"&amp;$A$7&amp;大表科目本位幣調整前)</f>
        <v>#NEED_REFRESH</v>
      </c>
      <c r="G10" s="7" t="str">
        <f>[1]!HsGetValue(conn,"Entity#"&amp;B10&amp;";Account#"&amp;$A$8&amp;大表科目本位幣調整前)</f>
        <v>#NEED_REFRESH</v>
      </c>
      <c r="H10" s="7" t="str">
        <f>[1]!HsGetValue(conn,"Entity#"&amp;B10&amp;";Account#"&amp;$A$9&amp;大表科目本位幣調整前)</f>
        <v>#NEED_REFRESH</v>
      </c>
      <c r="I10" s="7" t="str">
        <f>[1]!HsGetValue(conn,"Entity#"&amp;B10&amp;";Account#"&amp;$A$10&amp;大表科目本位幣調整前)</f>
        <v>#NEED_REFRESH</v>
      </c>
      <c r="J10" s="7" t="str">
        <f>[1]!HsGetValue(conn,"Entity#"&amp;B10&amp;";Account#"&amp;$A$11&amp;大表科目本位幣調整前)</f>
        <v>#NEED_REFRESH</v>
      </c>
      <c r="K10" s="7" t="str">
        <f>[1]!HsGetValue(conn,"Entity#"&amp;B10&amp;";Account#"&amp;$A$12&amp;大表科目本位幣調整前)</f>
        <v>#NEED_REFRESH</v>
      </c>
      <c r="L10" s="10" t="e">
        <f t="shared" si="10"/>
        <v>#VALUE!</v>
      </c>
      <c r="M10" s="72" t="str">
        <f>IF($D10="USD",1,IF($D10="NTD",1/[1]!HsGetValue(conn,USD換算成NTD的期末匯率),[1]!HsGetValue(conn,"Custom1#"&amp;$D10&amp;換算成USD的期末匯率)))</f>
        <v>#NEED_REFRESH</v>
      </c>
      <c r="N10" s="34" t="e">
        <f t="shared" si="11"/>
        <v>#VALUE!</v>
      </c>
      <c r="O10" s="34" t="e">
        <f t="shared" si="12"/>
        <v>#VALUE!</v>
      </c>
      <c r="P10" s="34" t="e">
        <f t="shared" si="13"/>
        <v>#VALUE!</v>
      </c>
      <c r="Q10" s="34" t="e">
        <f t="shared" si="14"/>
        <v>#VALUE!</v>
      </c>
      <c r="R10" s="34" t="e">
        <f t="shared" si="15"/>
        <v>#VALUE!</v>
      </c>
      <c r="S10" s="34" t="e">
        <f t="shared" si="16"/>
        <v>#VALUE!</v>
      </c>
      <c r="T10" s="10" t="e">
        <f t="shared" si="17"/>
        <v>#VALUE!</v>
      </c>
      <c r="U10" s="40" t="e">
        <f>[1]!HsGetValue(conn,"Entity#"&amp;B10&amp;";Account#"&amp;$A$3&amp;大表科目本位幣調整后)*M10</f>
        <v>#VALUE!</v>
      </c>
      <c r="V10" s="53">
        <f t="shared" si="18"/>
        <v>0</v>
      </c>
    </row>
    <row r="11" spans="1:22">
      <c r="A11" s="4">
        <v>110005</v>
      </c>
      <c r="B11" s="9" t="s">
        <v>12</v>
      </c>
      <c r="C11" s="3" t="str">
        <f>[1]!HsDescription(conn,"Entity#"&amp;B11)</f>
        <v>#NEED_REFRESH</v>
      </c>
      <c r="D11" s="31" t="s">
        <v>78</v>
      </c>
      <c r="E11" s="45" t="e">
        <f>[1]!HsGetValue(conn,"Entity#"&amp;B11&amp;";Account#"&amp;$A$6&amp;大表科目本位幣調整前)+K11</f>
        <v>#VALUE!</v>
      </c>
      <c r="F11" s="7" t="str">
        <f>[1]!HsGetValue(conn,"Entity#"&amp;B11&amp;";Account#"&amp;$A$7&amp;大表科目本位幣調整前)</f>
        <v>#NEED_REFRESH</v>
      </c>
      <c r="G11" s="7" t="str">
        <f>[1]!HsGetValue(conn,"Entity#"&amp;B11&amp;";Account#"&amp;$A$8&amp;大表科目本位幣調整前)</f>
        <v>#NEED_REFRESH</v>
      </c>
      <c r="H11" s="7" t="str">
        <f>[1]!HsGetValue(conn,"Entity#"&amp;B11&amp;";Account#"&amp;$A$9&amp;大表科目本位幣調整前)</f>
        <v>#NEED_REFRESH</v>
      </c>
      <c r="I11" s="7" t="str">
        <f>[1]!HsGetValue(conn,"Entity#"&amp;B11&amp;";Account#"&amp;$A$10&amp;大表科目本位幣調整前)</f>
        <v>#NEED_REFRESH</v>
      </c>
      <c r="J11" s="7" t="str">
        <f>[1]!HsGetValue(conn,"Entity#"&amp;B11&amp;";Account#"&amp;$A$11&amp;大表科目本位幣調整前)</f>
        <v>#NEED_REFRESH</v>
      </c>
      <c r="K11" s="7" t="str">
        <f>[1]!HsGetValue(conn,"Entity#"&amp;B11&amp;";Account#"&amp;$A$12&amp;大表科目本位幣調整前)</f>
        <v>#NEED_REFRESH</v>
      </c>
      <c r="L11" s="10" t="e">
        <f t="shared" si="10"/>
        <v>#VALUE!</v>
      </c>
      <c r="M11" s="72" t="str">
        <f>IF($D11="USD",1,IF($D11="NTD",1/[1]!HsGetValue(conn,USD換算成NTD的期末匯率),[1]!HsGetValue(conn,"Custom1#"&amp;$D11&amp;換算成USD的期末匯率)))</f>
        <v>#NEED_REFRESH</v>
      </c>
      <c r="N11" s="34" t="e">
        <f t="shared" si="11"/>
        <v>#VALUE!</v>
      </c>
      <c r="O11" s="34" t="e">
        <f t="shared" si="12"/>
        <v>#VALUE!</v>
      </c>
      <c r="P11" s="34" t="e">
        <f t="shared" si="13"/>
        <v>#VALUE!</v>
      </c>
      <c r="Q11" s="34" t="e">
        <f t="shared" si="14"/>
        <v>#VALUE!</v>
      </c>
      <c r="R11" s="34" t="e">
        <f t="shared" si="15"/>
        <v>#VALUE!</v>
      </c>
      <c r="S11" s="34" t="e">
        <f t="shared" si="16"/>
        <v>#VALUE!</v>
      </c>
      <c r="T11" s="10" t="e">
        <f t="shared" si="17"/>
        <v>#VALUE!</v>
      </c>
      <c r="U11" s="40" t="e">
        <f>[1]!HsGetValue(conn,"Entity#"&amp;B11&amp;";Account#"&amp;$A$3&amp;大表科目本位幣調整后)*M11</f>
        <v>#VALUE!</v>
      </c>
      <c r="V11" s="53">
        <f t="shared" si="18"/>
        <v>0</v>
      </c>
    </row>
    <row r="12" spans="1:22">
      <c r="A12" s="4">
        <v>110051</v>
      </c>
      <c r="B12" s="9" t="s">
        <v>13</v>
      </c>
      <c r="C12" s="3" t="str">
        <f>[1]!HsDescription(conn,"Entity#"&amp;B12)</f>
        <v>#NEED_REFRESH</v>
      </c>
      <c r="D12" s="31" t="s">
        <v>79</v>
      </c>
      <c r="E12" s="45" t="e">
        <f>[1]!HsGetValue(conn,"Entity#"&amp;B12&amp;";Account#"&amp;$A$6&amp;大表科目本位幣調整前)+K12</f>
        <v>#VALUE!</v>
      </c>
      <c r="F12" s="7" t="str">
        <f>[1]!HsGetValue(conn,"Entity#"&amp;B12&amp;";Account#"&amp;$A$7&amp;大表科目本位幣調整前)</f>
        <v>#NEED_REFRESH</v>
      </c>
      <c r="G12" s="7" t="str">
        <f>[1]!HsGetValue(conn,"Entity#"&amp;B12&amp;";Account#"&amp;$A$8&amp;大表科目本位幣調整前)</f>
        <v>#NEED_REFRESH</v>
      </c>
      <c r="H12" s="7" t="str">
        <f>[1]!HsGetValue(conn,"Entity#"&amp;B12&amp;";Account#"&amp;$A$9&amp;大表科目本位幣調整前)</f>
        <v>#NEED_REFRESH</v>
      </c>
      <c r="I12" s="7" t="str">
        <f>[1]!HsGetValue(conn,"Entity#"&amp;B12&amp;";Account#"&amp;$A$10&amp;大表科目本位幣調整前)</f>
        <v>#NEED_REFRESH</v>
      </c>
      <c r="J12" s="7" t="str">
        <f>[1]!HsGetValue(conn,"Entity#"&amp;B12&amp;";Account#"&amp;$A$11&amp;大表科目本位幣調整前)</f>
        <v>#NEED_REFRESH</v>
      </c>
      <c r="K12" s="7" t="str">
        <f>[1]!HsGetValue(conn,"Entity#"&amp;B12&amp;";Account#"&amp;$A$12&amp;大表科目本位幣調整前)</f>
        <v>#NEED_REFRESH</v>
      </c>
      <c r="L12" s="10" t="e">
        <f t="shared" si="10"/>
        <v>#VALUE!</v>
      </c>
      <c r="M12" s="72" t="str">
        <f>IF($D12="USD",1,IF($D12="NTD",1/[1]!HsGetValue(conn,USD換算成NTD的期末匯率),[1]!HsGetValue(conn,"Custom1#"&amp;$D12&amp;換算成USD的期末匯率)))</f>
        <v>#NEED_REFRESH</v>
      </c>
      <c r="N12" s="34" t="e">
        <f t="shared" si="11"/>
        <v>#VALUE!</v>
      </c>
      <c r="O12" s="34" t="e">
        <f t="shared" si="12"/>
        <v>#VALUE!</v>
      </c>
      <c r="P12" s="34" t="e">
        <f t="shared" si="13"/>
        <v>#VALUE!</v>
      </c>
      <c r="Q12" s="34" t="e">
        <f t="shared" si="14"/>
        <v>#VALUE!</v>
      </c>
      <c r="R12" s="34" t="e">
        <f t="shared" si="15"/>
        <v>#VALUE!</v>
      </c>
      <c r="S12" s="34" t="e">
        <f t="shared" si="16"/>
        <v>#VALUE!</v>
      </c>
      <c r="T12" s="10" t="e">
        <f t="shared" si="17"/>
        <v>#VALUE!</v>
      </c>
      <c r="U12" s="40" t="e">
        <f>[1]!HsGetValue(conn,"Entity#"&amp;B12&amp;";Account#"&amp;$A$3&amp;大表科目本位幣調整后)*M12</f>
        <v>#VALUE!</v>
      </c>
      <c r="V12" s="53">
        <f t="shared" si="18"/>
        <v>0</v>
      </c>
    </row>
    <row r="13" spans="1:22">
      <c r="B13" s="9" t="s">
        <v>14</v>
      </c>
      <c r="C13" s="3" t="str">
        <f>[1]!HsDescription(conn,"Entity#"&amp;B13)</f>
        <v>#NEED_REFRESH</v>
      </c>
      <c r="D13" s="31" t="s">
        <v>80</v>
      </c>
      <c r="E13" s="45" t="e">
        <f>[1]!HsGetValue(conn,"Entity#"&amp;B13&amp;";Account#"&amp;$A$6&amp;大表科目本位幣調整前)+K13</f>
        <v>#VALUE!</v>
      </c>
      <c r="F13" s="7" t="str">
        <f>[1]!HsGetValue(conn,"Entity#"&amp;B13&amp;";Account#"&amp;$A$7&amp;大表科目本位幣調整前)</f>
        <v>#NEED_REFRESH</v>
      </c>
      <c r="G13" s="7" t="str">
        <f>[1]!HsGetValue(conn,"Entity#"&amp;B13&amp;";Account#"&amp;$A$8&amp;大表科目本位幣調整前)</f>
        <v>#NEED_REFRESH</v>
      </c>
      <c r="H13" s="7" t="str">
        <f>[1]!HsGetValue(conn,"Entity#"&amp;B13&amp;";Account#"&amp;$A$9&amp;大表科目本位幣調整前)</f>
        <v>#NEED_REFRESH</v>
      </c>
      <c r="I13" s="7" t="str">
        <f>[1]!HsGetValue(conn,"Entity#"&amp;B13&amp;";Account#"&amp;$A$10&amp;大表科目本位幣調整前)</f>
        <v>#NEED_REFRESH</v>
      </c>
      <c r="J13" s="7" t="str">
        <f>[1]!HsGetValue(conn,"Entity#"&amp;B13&amp;";Account#"&amp;$A$11&amp;大表科目本位幣調整前)</f>
        <v>#NEED_REFRESH</v>
      </c>
      <c r="K13" s="7" t="str">
        <f>[1]!HsGetValue(conn,"Entity#"&amp;B13&amp;";Account#"&amp;$A$12&amp;大表科目本位幣調整前)</f>
        <v>#NEED_REFRESH</v>
      </c>
      <c r="L13" s="10" t="e">
        <f t="shared" si="10"/>
        <v>#VALUE!</v>
      </c>
      <c r="M13" s="72" t="str">
        <f>IF($D13="USD",1,IF($D13="NTD",1/[1]!HsGetValue(conn,USD換算成NTD的期末匯率),[1]!HsGetValue(conn,"Custom1#"&amp;$D13&amp;換算成USD的期末匯率)))</f>
        <v>#NEED_REFRESH</v>
      </c>
      <c r="N13" s="34" t="e">
        <f t="shared" si="11"/>
        <v>#VALUE!</v>
      </c>
      <c r="O13" s="34" t="e">
        <f t="shared" si="12"/>
        <v>#VALUE!</v>
      </c>
      <c r="P13" s="34" t="e">
        <f t="shared" si="13"/>
        <v>#VALUE!</v>
      </c>
      <c r="Q13" s="34" t="e">
        <f t="shared" si="14"/>
        <v>#VALUE!</v>
      </c>
      <c r="R13" s="34" t="e">
        <f t="shared" si="15"/>
        <v>#VALUE!</v>
      </c>
      <c r="S13" s="34" t="e">
        <f t="shared" si="16"/>
        <v>#VALUE!</v>
      </c>
      <c r="T13" s="10" t="e">
        <f t="shared" si="17"/>
        <v>#VALUE!</v>
      </c>
      <c r="U13" s="40" t="e">
        <f>[1]!HsGetValue(conn,"Entity#"&amp;B13&amp;";Account#"&amp;$A$3&amp;大表科目本位幣調整后)*M13</f>
        <v>#VALUE!</v>
      </c>
      <c r="V13" s="53">
        <f t="shared" si="18"/>
        <v>0</v>
      </c>
    </row>
    <row r="14" spans="1:22">
      <c r="B14" s="9" t="s">
        <v>15</v>
      </c>
      <c r="C14" s="3" t="str">
        <f>[1]!HsDescription(conn,"Entity#"&amp;B14)</f>
        <v>#NEED_REFRESH</v>
      </c>
      <c r="D14" s="31" t="s">
        <v>71</v>
      </c>
      <c r="E14" s="45" t="e">
        <f>[1]!HsGetValue(conn,"Entity#"&amp;B14&amp;";Account#"&amp;$A$6&amp;大表科目本位幣調整前)+K14</f>
        <v>#VALUE!</v>
      </c>
      <c r="F14" s="7" t="str">
        <f>[1]!HsGetValue(conn,"Entity#"&amp;B14&amp;";Account#"&amp;$A$7&amp;大表科目本位幣調整前)</f>
        <v>#NEED_REFRESH</v>
      </c>
      <c r="G14" s="7" t="str">
        <f>[1]!HsGetValue(conn,"Entity#"&amp;B14&amp;";Account#"&amp;$A$8&amp;大表科目本位幣調整前)</f>
        <v>#NEED_REFRESH</v>
      </c>
      <c r="H14" s="7" t="str">
        <f>[1]!HsGetValue(conn,"Entity#"&amp;B14&amp;";Account#"&amp;$A$9&amp;大表科目本位幣調整前)</f>
        <v>#NEED_REFRESH</v>
      </c>
      <c r="I14" s="7" t="str">
        <f>[1]!HsGetValue(conn,"Entity#"&amp;B14&amp;";Account#"&amp;$A$10&amp;大表科目本位幣調整前)</f>
        <v>#NEED_REFRESH</v>
      </c>
      <c r="J14" s="7" t="str">
        <f>[1]!HsGetValue(conn,"Entity#"&amp;B14&amp;";Account#"&amp;$A$11&amp;大表科目本位幣調整前)</f>
        <v>#NEED_REFRESH</v>
      </c>
      <c r="K14" s="7" t="str">
        <f>[1]!HsGetValue(conn,"Entity#"&amp;B14&amp;";Account#"&amp;$A$12&amp;大表科目本位幣調整前)</f>
        <v>#NEED_REFRESH</v>
      </c>
      <c r="L14" s="10" t="e">
        <f t="shared" si="10"/>
        <v>#VALUE!</v>
      </c>
      <c r="M14" s="72">
        <f>IF($D14="USD",1,IF($D14="NTD",1/[1]!HsGetValue(conn,USD換算成NTD的期末匯率),[1]!HsGetValue(conn,"Custom1#"&amp;$D14&amp;換算成USD的期末匯率)))</f>
        <v>1</v>
      </c>
      <c r="N14" s="34" t="e">
        <f t="shared" si="11"/>
        <v>#VALUE!</v>
      </c>
      <c r="O14" s="34" t="e">
        <f t="shared" si="12"/>
        <v>#VALUE!</v>
      </c>
      <c r="P14" s="34" t="e">
        <f t="shared" si="13"/>
        <v>#VALUE!</v>
      </c>
      <c r="Q14" s="34" t="e">
        <f t="shared" si="14"/>
        <v>#VALUE!</v>
      </c>
      <c r="R14" s="34" t="e">
        <f t="shared" si="15"/>
        <v>#VALUE!</v>
      </c>
      <c r="S14" s="34" t="e">
        <f t="shared" si="16"/>
        <v>#VALUE!</v>
      </c>
      <c r="T14" s="10" t="e">
        <f t="shared" si="17"/>
        <v>#VALUE!</v>
      </c>
      <c r="U14" s="40" t="e">
        <f>[1]!HsGetValue(conn,"Entity#"&amp;B14&amp;";Account#"&amp;$A$3&amp;大表科目本位幣調整后)*M14</f>
        <v>#VALUE!</v>
      </c>
      <c r="V14" s="53">
        <f t="shared" si="18"/>
        <v>0</v>
      </c>
    </row>
    <row r="15" spans="1:22">
      <c r="B15" s="9" t="s">
        <v>16</v>
      </c>
      <c r="C15" s="3" t="str">
        <f>[1]!HsDescription(conn,"Entity#"&amp;B15)</f>
        <v>#NEED_REFRESH</v>
      </c>
      <c r="D15" s="31" t="s">
        <v>80</v>
      </c>
      <c r="E15" s="45" t="e">
        <f>[1]!HsGetValue(conn,"Entity#"&amp;B15&amp;";Account#"&amp;$A$6&amp;大表科目本位幣調整前)+K15</f>
        <v>#VALUE!</v>
      </c>
      <c r="F15" s="7" t="str">
        <f>[1]!HsGetValue(conn,"Entity#"&amp;B15&amp;";Account#"&amp;$A$7&amp;大表科目本位幣調整前)</f>
        <v>#NEED_REFRESH</v>
      </c>
      <c r="G15" s="7" t="str">
        <f>[1]!HsGetValue(conn,"Entity#"&amp;B15&amp;";Account#"&amp;$A$8&amp;大表科目本位幣調整前)</f>
        <v>#NEED_REFRESH</v>
      </c>
      <c r="H15" s="7" t="str">
        <f>[1]!HsGetValue(conn,"Entity#"&amp;B15&amp;";Account#"&amp;$A$9&amp;大表科目本位幣調整前)</f>
        <v>#NEED_REFRESH</v>
      </c>
      <c r="I15" s="7" t="str">
        <f>[1]!HsGetValue(conn,"Entity#"&amp;B15&amp;";Account#"&amp;$A$10&amp;大表科目本位幣調整前)</f>
        <v>#NEED_REFRESH</v>
      </c>
      <c r="J15" s="7" t="str">
        <f>[1]!HsGetValue(conn,"Entity#"&amp;B15&amp;";Account#"&amp;$A$11&amp;大表科目本位幣調整前)</f>
        <v>#NEED_REFRESH</v>
      </c>
      <c r="K15" s="7" t="str">
        <f>[1]!HsGetValue(conn,"Entity#"&amp;B15&amp;";Account#"&amp;$A$12&amp;大表科目本位幣調整前)</f>
        <v>#NEED_REFRESH</v>
      </c>
      <c r="L15" s="10" t="e">
        <f t="shared" si="10"/>
        <v>#VALUE!</v>
      </c>
      <c r="M15" s="72" t="str">
        <f>IF($D15="USD",1,IF($D15="NTD",1/[1]!HsGetValue(conn,USD換算成NTD的期末匯率),[1]!HsGetValue(conn,"Custom1#"&amp;$D15&amp;換算成USD的期末匯率)))</f>
        <v>#NEED_REFRESH</v>
      </c>
      <c r="N15" s="34" t="e">
        <f t="shared" si="11"/>
        <v>#VALUE!</v>
      </c>
      <c r="O15" s="34" t="e">
        <f t="shared" si="12"/>
        <v>#VALUE!</v>
      </c>
      <c r="P15" s="34" t="e">
        <f t="shared" si="13"/>
        <v>#VALUE!</v>
      </c>
      <c r="Q15" s="34" t="e">
        <f t="shared" si="14"/>
        <v>#VALUE!</v>
      </c>
      <c r="R15" s="34" t="e">
        <f t="shared" si="15"/>
        <v>#VALUE!</v>
      </c>
      <c r="S15" s="34" t="e">
        <f t="shared" si="16"/>
        <v>#VALUE!</v>
      </c>
      <c r="T15" s="10" t="e">
        <f t="shared" si="17"/>
        <v>#VALUE!</v>
      </c>
      <c r="U15" s="40" t="e">
        <f>[1]!HsGetValue(conn,"Entity#"&amp;B15&amp;";Account#"&amp;$A$3&amp;大表科目本位幣調整后)*M15</f>
        <v>#VALUE!</v>
      </c>
      <c r="V15" s="53">
        <f t="shared" si="18"/>
        <v>0</v>
      </c>
    </row>
    <row r="16" spans="1:22">
      <c r="B16" s="9" t="s">
        <v>17</v>
      </c>
      <c r="C16" s="3" t="str">
        <f>[1]!HsDescription(conn,"Entity#"&amp;B16)</f>
        <v>#NEED_REFRESH</v>
      </c>
      <c r="D16" s="31" t="s">
        <v>80</v>
      </c>
      <c r="E16" s="45" t="e">
        <f>[1]!HsGetValue(conn,"Entity#"&amp;B16&amp;";Account#"&amp;$A$6&amp;大表科目本位幣調整前)+K16</f>
        <v>#VALUE!</v>
      </c>
      <c r="F16" s="7" t="str">
        <f>[1]!HsGetValue(conn,"Entity#"&amp;B16&amp;";Account#"&amp;$A$7&amp;大表科目本位幣調整前)</f>
        <v>#NEED_REFRESH</v>
      </c>
      <c r="G16" s="7" t="str">
        <f>[1]!HsGetValue(conn,"Entity#"&amp;B16&amp;";Account#"&amp;$A$8&amp;大表科目本位幣調整前)</f>
        <v>#NEED_REFRESH</v>
      </c>
      <c r="H16" s="7" t="str">
        <f>[1]!HsGetValue(conn,"Entity#"&amp;B16&amp;";Account#"&amp;$A$9&amp;大表科目本位幣調整前)</f>
        <v>#NEED_REFRESH</v>
      </c>
      <c r="I16" s="7" t="str">
        <f>[1]!HsGetValue(conn,"Entity#"&amp;B16&amp;";Account#"&amp;$A$10&amp;大表科目本位幣調整前)</f>
        <v>#NEED_REFRESH</v>
      </c>
      <c r="J16" s="7" t="str">
        <f>[1]!HsGetValue(conn,"Entity#"&amp;B16&amp;";Account#"&amp;$A$11&amp;大表科目本位幣調整前)</f>
        <v>#NEED_REFRESH</v>
      </c>
      <c r="K16" s="7" t="str">
        <f>[1]!HsGetValue(conn,"Entity#"&amp;B16&amp;";Account#"&amp;$A$12&amp;大表科目本位幣調整前)</f>
        <v>#NEED_REFRESH</v>
      </c>
      <c r="L16" s="10" t="e">
        <f t="shared" si="10"/>
        <v>#VALUE!</v>
      </c>
      <c r="M16" s="72" t="str">
        <f>IF($D16="USD",1,IF($D16="NTD",1/[1]!HsGetValue(conn,USD換算成NTD的期末匯率),[1]!HsGetValue(conn,"Custom1#"&amp;$D16&amp;換算成USD的期末匯率)))</f>
        <v>#NEED_REFRESH</v>
      </c>
      <c r="N16" s="34" t="e">
        <f t="shared" si="11"/>
        <v>#VALUE!</v>
      </c>
      <c r="O16" s="34" t="e">
        <f t="shared" si="12"/>
        <v>#VALUE!</v>
      </c>
      <c r="P16" s="34" t="e">
        <f t="shared" si="13"/>
        <v>#VALUE!</v>
      </c>
      <c r="Q16" s="34" t="e">
        <f t="shared" si="14"/>
        <v>#VALUE!</v>
      </c>
      <c r="R16" s="34" t="e">
        <f t="shared" si="15"/>
        <v>#VALUE!</v>
      </c>
      <c r="S16" s="34" t="e">
        <f t="shared" si="16"/>
        <v>#VALUE!</v>
      </c>
      <c r="T16" s="10" t="e">
        <f t="shared" si="17"/>
        <v>#VALUE!</v>
      </c>
      <c r="U16" s="40" t="e">
        <f>[1]!HsGetValue(conn,"Entity#"&amp;B16&amp;";Account#"&amp;$A$3&amp;大表科目本位幣調整后)*M16</f>
        <v>#VALUE!</v>
      </c>
      <c r="V16" s="53">
        <f t="shared" si="18"/>
        <v>0</v>
      </c>
    </row>
    <row r="17" spans="2:22">
      <c r="B17" s="9" t="s">
        <v>18</v>
      </c>
      <c r="C17" s="3" t="str">
        <f>[1]!HsDescription(conn,"Entity#"&amp;B17)</f>
        <v>#NEED_REFRESH</v>
      </c>
      <c r="D17" s="31" t="s">
        <v>80</v>
      </c>
      <c r="E17" s="45" t="e">
        <f>[1]!HsGetValue(conn,"Entity#"&amp;B17&amp;";Account#"&amp;$A$6&amp;大表科目本位幣調整前)+K17</f>
        <v>#VALUE!</v>
      </c>
      <c r="F17" s="7" t="str">
        <f>[1]!HsGetValue(conn,"Entity#"&amp;B17&amp;";Account#"&amp;$A$7&amp;大表科目本位幣調整前)</f>
        <v>#NEED_REFRESH</v>
      </c>
      <c r="G17" s="7" t="str">
        <f>[1]!HsGetValue(conn,"Entity#"&amp;B17&amp;";Account#"&amp;$A$8&amp;大表科目本位幣調整前)</f>
        <v>#NEED_REFRESH</v>
      </c>
      <c r="H17" s="7" t="str">
        <f>[1]!HsGetValue(conn,"Entity#"&amp;B17&amp;";Account#"&amp;$A$9&amp;大表科目本位幣調整前)</f>
        <v>#NEED_REFRESH</v>
      </c>
      <c r="I17" s="7" t="str">
        <f>[1]!HsGetValue(conn,"Entity#"&amp;B17&amp;";Account#"&amp;$A$10&amp;大表科目本位幣調整前)</f>
        <v>#NEED_REFRESH</v>
      </c>
      <c r="J17" s="7" t="str">
        <f>[1]!HsGetValue(conn,"Entity#"&amp;B17&amp;";Account#"&amp;$A$11&amp;大表科目本位幣調整前)</f>
        <v>#NEED_REFRESH</v>
      </c>
      <c r="K17" s="7" t="str">
        <f>[1]!HsGetValue(conn,"Entity#"&amp;B17&amp;";Account#"&amp;$A$12&amp;大表科目本位幣調整前)</f>
        <v>#NEED_REFRESH</v>
      </c>
      <c r="L17" s="10" t="e">
        <f t="shared" si="10"/>
        <v>#VALUE!</v>
      </c>
      <c r="M17" s="72" t="str">
        <f>IF($D17="USD",1,IF($D17="NTD",1/[1]!HsGetValue(conn,USD換算成NTD的期末匯率),[1]!HsGetValue(conn,"Custom1#"&amp;$D17&amp;換算成USD的期末匯率)))</f>
        <v>#NEED_REFRESH</v>
      </c>
      <c r="N17" s="34" t="e">
        <f t="shared" si="11"/>
        <v>#VALUE!</v>
      </c>
      <c r="O17" s="34" t="e">
        <f t="shared" si="12"/>
        <v>#VALUE!</v>
      </c>
      <c r="P17" s="34" t="e">
        <f t="shared" si="13"/>
        <v>#VALUE!</v>
      </c>
      <c r="Q17" s="34" t="e">
        <f t="shared" si="14"/>
        <v>#VALUE!</v>
      </c>
      <c r="R17" s="34" t="e">
        <f t="shared" si="15"/>
        <v>#VALUE!</v>
      </c>
      <c r="S17" s="34" t="e">
        <f t="shared" si="16"/>
        <v>#VALUE!</v>
      </c>
      <c r="T17" s="10" t="e">
        <f t="shared" si="17"/>
        <v>#VALUE!</v>
      </c>
      <c r="U17" s="40" t="e">
        <f>[1]!HsGetValue(conn,"Entity#"&amp;B17&amp;";Account#"&amp;$A$3&amp;大表科目本位幣調整后)*M17</f>
        <v>#VALUE!</v>
      </c>
      <c r="V17" s="53">
        <f t="shared" si="18"/>
        <v>0</v>
      </c>
    </row>
    <row r="18" spans="2:22">
      <c r="B18" s="9" t="s">
        <v>19</v>
      </c>
      <c r="C18" s="3" t="str">
        <f>[1]!HsDescription(conn,"Entity#"&amp;B18)</f>
        <v>#NEED_REFRESH</v>
      </c>
      <c r="D18" s="31" t="s">
        <v>80</v>
      </c>
      <c r="E18" s="45" t="e">
        <f>[1]!HsGetValue(conn,"Entity#"&amp;B18&amp;";Account#"&amp;$A$6&amp;大表科目本位幣調整前)+K18</f>
        <v>#VALUE!</v>
      </c>
      <c r="F18" s="7" t="str">
        <f>[1]!HsGetValue(conn,"Entity#"&amp;B18&amp;";Account#"&amp;$A$7&amp;大表科目本位幣調整前)</f>
        <v>#NEED_REFRESH</v>
      </c>
      <c r="G18" s="7" t="str">
        <f>[1]!HsGetValue(conn,"Entity#"&amp;B18&amp;";Account#"&amp;$A$8&amp;大表科目本位幣調整前)</f>
        <v>#NEED_REFRESH</v>
      </c>
      <c r="H18" s="7" t="str">
        <f>[1]!HsGetValue(conn,"Entity#"&amp;B18&amp;";Account#"&amp;$A$9&amp;大表科目本位幣調整前)</f>
        <v>#NEED_REFRESH</v>
      </c>
      <c r="I18" s="7" t="str">
        <f>[1]!HsGetValue(conn,"Entity#"&amp;B18&amp;";Account#"&amp;$A$10&amp;大表科目本位幣調整前)</f>
        <v>#NEED_REFRESH</v>
      </c>
      <c r="J18" s="7" t="str">
        <f>[1]!HsGetValue(conn,"Entity#"&amp;B18&amp;";Account#"&amp;$A$11&amp;大表科目本位幣調整前)</f>
        <v>#NEED_REFRESH</v>
      </c>
      <c r="K18" s="7" t="str">
        <f>[1]!HsGetValue(conn,"Entity#"&amp;B18&amp;";Account#"&amp;$A$12&amp;大表科目本位幣調整前)</f>
        <v>#NEED_REFRESH</v>
      </c>
      <c r="L18" s="10" t="e">
        <f t="shared" si="10"/>
        <v>#VALUE!</v>
      </c>
      <c r="M18" s="72" t="str">
        <f>IF($D18="USD",1,IF($D18="NTD",1/[1]!HsGetValue(conn,USD換算成NTD的期末匯率),[1]!HsGetValue(conn,"Custom1#"&amp;$D18&amp;換算成USD的期末匯率)))</f>
        <v>#NEED_REFRESH</v>
      </c>
      <c r="N18" s="34" t="e">
        <f t="shared" si="11"/>
        <v>#VALUE!</v>
      </c>
      <c r="O18" s="34" t="e">
        <f t="shared" si="12"/>
        <v>#VALUE!</v>
      </c>
      <c r="P18" s="34" t="e">
        <f t="shared" si="13"/>
        <v>#VALUE!</v>
      </c>
      <c r="Q18" s="34" t="e">
        <f t="shared" si="14"/>
        <v>#VALUE!</v>
      </c>
      <c r="R18" s="34" t="e">
        <f t="shared" si="15"/>
        <v>#VALUE!</v>
      </c>
      <c r="S18" s="34" t="e">
        <f t="shared" si="16"/>
        <v>#VALUE!</v>
      </c>
      <c r="T18" s="10" t="e">
        <f t="shared" si="17"/>
        <v>#VALUE!</v>
      </c>
      <c r="U18" s="40" t="e">
        <f>[1]!HsGetValue(conn,"Entity#"&amp;B18&amp;";Account#"&amp;$A$3&amp;大表科目本位幣調整后)*M18</f>
        <v>#VALUE!</v>
      </c>
      <c r="V18" s="53">
        <f t="shared" si="18"/>
        <v>0</v>
      </c>
    </row>
    <row r="19" spans="2:22">
      <c r="B19" s="9" t="s">
        <v>20</v>
      </c>
      <c r="C19" s="3" t="str">
        <f>[1]!HsDescription(conn,"Entity#"&amp;B19)</f>
        <v>#NEED_REFRESH</v>
      </c>
      <c r="D19" s="31" t="s">
        <v>80</v>
      </c>
      <c r="E19" s="45" t="e">
        <f>[1]!HsGetValue(conn,"Entity#"&amp;B19&amp;";Account#"&amp;$A$6&amp;大表科目本位幣調整前)+K19</f>
        <v>#VALUE!</v>
      </c>
      <c r="F19" s="7" t="str">
        <f>[1]!HsGetValue(conn,"Entity#"&amp;B19&amp;";Account#"&amp;$A$7&amp;大表科目本位幣調整前)</f>
        <v>#NEED_REFRESH</v>
      </c>
      <c r="G19" s="7" t="str">
        <f>[1]!HsGetValue(conn,"Entity#"&amp;B19&amp;";Account#"&amp;$A$8&amp;大表科目本位幣調整前)</f>
        <v>#NEED_REFRESH</v>
      </c>
      <c r="H19" s="7" t="str">
        <f>[1]!HsGetValue(conn,"Entity#"&amp;B19&amp;";Account#"&amp;$A$9&amp;大表科目本位幣調整前)</f>
        <v>#NEED_REFRESH</v>
      </c>
      <c r="I19" s="7" t="str">
        <f>[1]!HsGetValue(conn,"Entity#"&amp;B19&amp;";Account#"&amp;$A$10&amp;大表科目本位幣調整前)</f>
        <v>#NEED_REFRESH</v>
      </c>
      <c r="J19" s="7" t="str">
        <f>[1]!HsGetValue(conn,"Entity#"&amp;B19&amp;";Account#"&amp;$A$11&amp;大表科目本位幣調整前)</f>
        <v>#NEED_REFRESH</v>
      </c>
      <c r="K19" s="7" t="str">
        <f>[1]!HsGetValue(conn,"Entity#"&amp;B19&amp;";Account#"&amp;$A$12&amp;大表科目本位幣調整前)</f>
        <v>#NEED_REFRESH</v>
      </c>
      <c r="L19" s="10" t="e">
        <f t="shared" si="10"/>
        <v>#VALUE!</v>
      </c>
      <c r="M19" s="72" t="str">
        <f>IF($D19="USD",1,IF($D19="NTD",1/[1]!HsGetValue(conn,USD換算成NTD的期末匯率),[1]!HsGetValue(conn,"Custom1#"&amp;$D19&amp;換算成USD的期末匯率)))</f>
        <v>#NEED_REFRESH</v>
      </c>
      <c r="N19" s="34" t="e">
        <f t="shared" si="11"/>
        <v>#VALUE!</v>
      </c>
      <c r="O19" s="34" t="e">
        <f t="shared" si="12"/>
        <v>#VALUE!</v>
      </c>
      <c r="P19" s="34" t="e">
        <f t="shared" si="13"/>
        <v>#VALUE!</v>
      </c>
      <c r="Q19" s="34" t="e">
        <f t="shared" si="14"/>
        <v>#VALUE!</v>
      </c>
      <c r="R19" s="34" t="e">
        <f t="shared" si="15"/>
        <v>#VALUE!</v>
      </c>
      <c r="S19" s="34" t="e">
        <f t="shared" si="16"/>
        <v>#VALUE!</v>
      </c>
      <c r="T19" s="10" t="e">
        <f t="shared" si="17"/>
        <v>#VALUE!</v>
      </c>
      <c r="U19" s="40" t="e">
        <f>[1]!HsGetValue(conn,"Entity#"&amp;B19&amp;";Account#"&amp;$A$3&amp;大表科目本位幣調整后)*M19</f>
        <v>#VALUE!</v>
      </c>
      <c r="V19" s="53">
        <f t="shared" si="18"/>
        <v>0</v>
      </c>
    </row>
    <row r="20" spans="2:22">
      <c r="B20" s="9" t="s">
        <v>21</v>
      </c>
      <c r="C20" s="3" t="str">
        <f>[1]!HsDescription(conn,"Entity#"&amp;B20)</f>
        <v>#NEED_REFRESH</v>
      </c>
      <c r="D20" s="31" t="s">
        <v>80</v>
      </c>
      <c r="E20" s="45" t="e">
        <f>[1]!HsGetValue(conn,"Entity#"&amp;B20&amp;";Account#"&amp;$A$6&amp;大表科目本位幣調整前)+K20</f>
        <v>#VALUE!</v>
      </c>
      <c r="F20" s="7" t="str">
        <f>[1]!HsGetValue(conn,"Entity#"&amp;B20&amp;";Account#"&amp;$A$7&amp;大表科目本位幣調整前)</f>
        <v>#NEED_REFRESH</v>
      </c>
      <c r="G20" s="7" t="str">
        <f>[1]!HsGetValue(conn,"Entity#"&amp;B20&amp;";Account#"&amp;$A$8&amp;大表科目本位幣調整前)</f>
        <v>#NEED_REFRESH</v>
      </c>
      <c r="H20" s="7" t="str">
        <f>[1]!HsGetValue(conn,"Entity#"&amp;B20&amp;";Account#"&amp;$A$9&amp;大表科目本位幣調整前)</f>
        <v>#NEED_REFRESH</v>
      </c>
      <c r="I20" s="7" t="str">
        <f>[1]!HsGetValue(conn,"Entity#"&amp;B20&amp;";Account#"&amp;$A$10&amp;大表科目本位幣調整前)</f>
        <v>#NEED_REFRESH</v>
      </c>
      <c r="J20" s="7" t="str">
        <f>[1]!HsGetValue(conn,"Entity#"&amp;B20&amp;";Account#"&amp;$A$11&amp;大表科目本位幣調整前)</f>
        <v>#NEED_REFRESH</v>
      </c>
      <c r="K20" s="7" t="str">
        <f>[1]!HsGetValue(conn,"Entity#"&amp;B20&amp;";Account#"&amp;$A$12&amp;大表科目本位幣調整前)</f>
        <v>#NEED_REFRESH</v>
      </c>
      <c r="L20" s="10" t="e">
        <f t="shared" si="10"/>
        <v>#VALUE!</v>
      </c>
      <c r="M20" s="72" t="str">
        <f>IF($D20="USD",1,IF($D20="NTD",1/[1]!HsGetValue(conn,USD換算成NTD的期末匯率),[1]!HsGetValue(conn,"Custom1#"&amp;$D20&amp;換算成USD的期末匯率)))</f>
        <v>#NEED_REFRESH</v>
      </c>
      <c r="N20" s="34" t="e">
        <f t="shared" si="11"/>
        <v>#VALUE!</v>
      </c>
      <c r="O20" s="34" t="e">
        <f t="shared" si="12"/>
        <v>#VALUE!</v>
      </c>
      <c r="P20" s="34" t="e">
        <f t="shared" si="13"/>
        <v>#VALUE!</v>
      </c>
      <c r="Q20" s="34" t="e">
        <f t="shared" si="14"/>
        <v>#VALUE!</v>
      </c>
      <c r="R20" s="34" t="e">
        <f t="shared" si="15"/>
        <v>#VALUE!</v>
      </c>
      <c r="S20" s="34" t="e">
        <f t="shared" si="16"/>
        <v>#VALUE!</v>
      </c>
      <c r="T20" s="10" t="e">
        <f t="shared" si="17"/>
        <v>#VALUE!</v>
      </c>
      <c r="U20" s="40" t="e">
        <f>[1]!HsGetValue(conn,"Entity#"&amp;B20&amp;";Account#"&amp;$A$3&amp;大表科目本位幣調整后)*M20</f>
        <v>#VALUE!</v>
      </c>
      <c r="V20" s="53">
        <f t="shared" si="18"/>
        <v>0</v>
      </c>
    </row>
    <row r="21" spans="2:22">
      <c r="B21" s="9" t="s">
        <v>22</v>
      </c>
      <c r="C21" s="3" t="str">
        <f>[1]!HsDescription(conn,"Entity#"&amp;B21)</f>
        <v>#NEED_REFRESH</v>
      </c>
      <c r="D21" s="31" t="s">
        <v>80</v>
      </c>
      <c r="E21" s="45" t="e">
        <f>[1]!HsGetValue(conn,"Entity#"&amp;B21&amp;";Account#"&amp;$A$6&amp;大表科目本位幣調整前)+K21</f>
        <v>#VALUE!</v>
      </c>
      <c r="F21" s="7" t="str">
        <f>[1]!HsGetValue(conn,"Entity#"&amp;B21&amp;";Account#"&amp;$A$7&amp;大表科目本位幣調整前)</f>
        <v>#NEED_REFRESH</v>
      </c>
      <c r="G21" s="7" t="str">
        <f>[1]!HsGetValue(conn,"Entity#"&amp;B21&amp;";Account#"&amp;$A$8&amp;大表科目本位幣調整前)</f>
        <v>#NEED_REFRESH</v>
      </c>
      <c r="H21" s="7" t="str">
        <f>[1]!HsGetValue(conn,"Entity#"&amp;B21&amp;";Account#"&amp;$A$9&amp;大表科目本位幣調整前)</f>
        <v>#NEED_REFRESH</v>
      </c>
      <c r="I21" s="7" t="str">
        <f>[1]!HsGetValue(conn,"Entity#"&amp;B21&amp;";Account#"&amp;$A$10&amp;大表科目本位幣調整前)</f>
        <v>#NEED_REFRESH</v>
      </c>
      <c r="J21" s="7" t="str">
        <f>[1]!HsGetValue(conn,"Entity#"&amp;B21&amp;";Account#"&amp;$A$11&amp;大表科目本位幣調整前)</f>
        <v>#NEED_REFRESH</v>
      </c>
      <c r="K21" s="7" t="str">
        <f>[1]!HsGetValue(conn,"Entity#"&amp;B21&amp;";Account#"&amp;$A$12&amp;大表科目本位幣調整前)</f>
        <v>#NEED_REFRESH</v>
      </c>
      <c r="L21" s="10" t="e">
        <f t="shared" si="10"/>
        <v>#VALUE!</v>
      </c>
      <c r="M21" s="72" t="str">
        <f>IF($D21="USD",1,IF($D21="NTD",1/[1]!HsGetValue(conn,USD換算成NTD的期末匯率),[1]!HsGetValue(conn,"Custom1#"&amp;$D21&amp;換算成USD的期末匯率)))</f>
        <v>#NEED_REFRESH</v>
      </c>
      <c r="N21" s="34" t="e">
        <f t="shared" si="11"/>
        <v>#VALUE!</v>
      </c>
      <c r="O21" s="34" t="e">
        <f t="shared" si="12"/>
        <v>#VALUE!</v>
      </c>
      <c r="P21" s="34" t="e">
        <f t="shared" si="13"/>
        <v>#VALUE!</v>
      </c>
      <c r="Q21" s="34" t="e">
        <f t="shared" si="14"/>
        <v>#VALUE!</v>
      </c>
      <c r="R21" s="34" t="e">
        <f t="shared" si="15"/>
        <v>#VALUE!</v>
      </c>
      <c r="S21" s="34" t="e">
        <f t="shared" si="16"/>
        <v>#VALUE!</v>
      </c>
      <c r="T21" s="10" t="e">
        <f t="shared" si="17"/>
        <v>#VALUE!</v>
      </c>
      <c r="U21" s="40" t="e">
        <f>[1]!HsGetValue(conn,"Entity#"&amp;B21&amp;";Account#"&amp;$A$3&amp;大表科目本位幣調整后)*M21</f>
        <v>#VALUE!</v>
      </c>
      <c r="V21" s="53">
        <f t="shared" si="18"/>
        <v>0</v>
      </c>
    </row>
    <row r="22" spans="2:22">
      <c r="B22" s="9" t="s">
        <v>23</v>
      </c>
      <c r="C22" s="3" t="str">
        <f>[1]!HsDescription(conn,"Entity#"&amp;B22)</f>
        <v>#NEED_REFRESH</v>
      </c>
      <c r="D22" s="31" t="s">
        <v>80</v>
      </c>
      <c r="E22" s="45" t="e">
        <f>[1]!HsGetValue(conn,"Entity#"&amp;B22&amp;";Account#"&amp;$A$6&amp;大表科目本位幣調整前)+K22</f>
        <v>#VALUE!</v>
      </c>
      <c r="F22" s="7" t="str">
        <f>[1]!HsGetValue(conn,"Entity#"&amp;B22&amp;";Account#"&amp;$A$7&amp;大表科目本位幣調整前)</f>
        <v>#NEED_REFRESH</v>
      </c>
      <c r="G22" s="7" t="str">
        <f>[1]!HsGetValue(conn,"Entity#"&amp;B22&amp;";Account#"&amp;$A$8&amp;大表科目本位幣調整前)</f>
        <v>#NEED_REFRESH</v>
      </c>
      <c r="H22" s="7" t="str">
        <f>[1]!HsGetValue(conn,"Entity#"&amp;B22&amp;";Account#"&amp;$A$9&amp;大表科目本位幣調整前)</f>
        <v>#NEED_REFRESH</v>
      </c>
      <c r="I22" s="7" t="str">
        <f>[1]!HsGetValue(conn,"Entity#"&amp;B22&amp;";Account#"&amp;$A$10&amp;大表科目本位幣調整前)</f>
        <v>#NEED_REFRESH</v>
      </c>
      <c r="J22" s="7" t="str">
        <f>[1]!HsGetValue(conn,"Entity#"&amp;B22&amp;";Account#"&amp;$A$11&amp;大表科目本位幣調整前)</f>
        <v>#NEED_REFRESH</v>
      </c>
      <c r="K22" s="7" t="str">
        <f>[1]!HsGetValue(conn,"Entity#"&amp;B22&amp;";Account#"&amp;$A$12&amp;大表科目本位幣調整前)</f>
        <v>#NEED_REFRESH</v>
      </c>
      <c r="L22" s="10" t="e">
        <f t="shared" si="10"/>
        <v>#VALUE!</v>
      </c>
      <c r="M22" s="72" t="str">
        <f>IF($D22="USD",1,IF($D22="NTD",1/[1]!HsGetValue(conn,USD換算成NTD的期末匯率),[1]!HsGetValue(conn,"Custom1#"&amp;$D22&amp;換算成USD的期末匯率)))</f>
        <v>#NEED_REFRESH</v>
      </c>
      <c r="N22" s="34" t="e">
        <f t="shared" si="11"/>
        <v>#VALUE!</v>
      </c>
      <c r="O22" s="34" t="e">
        <f t="shared" si="12"/>
        <v>#VALUE!</v>
      </c>
      <c r="P22" s="34" t="e">
        <f t="shared" si="13"/>
        <v>#VALUE!</v>
      </c>
      <c r="Q22" s="34" t="e">
        <f t="shared" si="14"/>
        <v>#VALUE!</v>
      </c>
      <c r="R22" s="34" t="e">
        <f t="shared" si="15"/>
        <v>#VALUE!</v>
      </c>
      <c r="S22" s="34" t="e">
        <f t="shared" si="16"/>
        <v>#VALUE!</v>
      </c>
      <c r="T22" s="10" t="e">
        <f t="shared" si="17"/>
        <v>#VALUE!</v>
      </c>
      <c r="U22" s="40" t="e">
        <f>[1]!HsGetValue(conn,"Entity#"&amp;B22&amp;";Account#"&amp;$A$3&amp;大表科目本位幣調整后)*M22</f>
        <v>#VALUE!</v>
      </c>
      <c r="V22" s="53">
        <f t="shared" si="18"/>
        <v>0</v>
      </c>
    </row>
    <row r="23" spans="2:22">
      <c r="B23" s="9" t="s">
        <v>24</v>
      </c>
      <c r="C23" s="3" t="str">
        <f>[1]!HsDescription(conn,"Entity#"&amp;B23)</f>
        <v>#NEED_REFRESH</v>
      </c>
      <c r="D23" s="31" t="s">
        <v>80</v>
      </c>
      <c r="E23" s="45" t="e">
        <f>[1]!HsGetValue(conn,"Entity#"&amp;B23&amp;";Account#"&amp;$A$6&amp;大表科目本位幣調整前)+K23</f>
        <v>#VALUE!</v>
      </c>
      <c r="F23" s="7" t="str">
        <f>[1]!HsGetValue(conn,"Entity#"&amp;B23&amp;";Account#"&amp;$A$7&amp;大表科目本位幣調整前)</f>
        <v>#NEED_REFRESH</v>
      </c>
      <c r="G23" s="7" t="str">
        <f>[1]!HsGetValue(conn,"Entity#"&amp;B23&amp;";Account#"&amp;$A$8&amp;大表科目本位幣調整前)</f>
        <v>#NEED_REFRESH</v>
      </c>
      <c r="H23" s="7" t="str">
        <f>[1]!HsGetValue(conn,"Entity#"&amp;B23&amp;";Account#"&amp;$A$9&amp;大表科目本位幣調整前)</f>
        <v>#NEED_REFRESH</v>
      </c>
      <c r="I23" s="7" t="str">
        <f>[1]!HsGetValue(conn,"Entity#"&amp;B23&amp;";Account#"&amp;$A$10&amp;大表科目本位幣調整前)</f>
        <v>#NEED_REFRESH</v>
      </c>
      <c r="J23" s="7" t="str">
        <f>[1]!HsGetValue(conn,"Entity#"&amp;B23&amp;";Account#"&amp;$A$11&amp;大表科目本位幣調整前)</f>
        <v>#NEED_REFRESH</v>
      </c>
      <c r="K23" s="7" t="str">
        <f>[1]!HsGetValue(conn,"Entity#"&amp;B23&amp;";Account#"&amp;$A$12&amp;大表科目本位幣調整前)</f>
        <v>#NEED_REFRESH</v>
      </c>
      <c r="L23" s="10" t="e">
        <f t="shared" si="10"/>
        <v>#VALUE!</v>
      </c>
      <c r="M23" s="72" t="str">
        <f>IF($D23="USD",1,IF($D23="NTD",1/[1]!HsGetValue(conn,USD換算成NTD的期末匯率),[1]!HsGetValue(conn,"Custom1#"&amp;$D23&amp;換算成USD的期末匯率)))</f>
        <v>#NEED_REFRESH</v>
      </c>
      <c r="N23" s="34" t="e">
        <f t="shared" si="11"/>
        <v>#VALUE!</v>
      </c>
      <c r="O23" s="34" t="e">
        <f t="shared" si="12"/>
        <v>#VALUE!</v>
      </c>
      <c r="P23" s="34" t="e">
        <f t="shared" si="13"/>
        <v>#VALUE!</v>
      </c>
      <c r="Q23" s="34" t="e">
        <f t="shared" si="14"/>
        <v>#VALUE!</v>
      </c>
      <c r="R23" s="34" t="e">
        <f t="shared" si="15"/>
        <v>#VALUE!</v>
      </c>
      <c r="S23" s="34" t="e">
        <f t="shared" si="16"/>
        <v>#VALUE!</v>
      </c>
      <c r="T23" s="10" t="e">
        <f t="shared" si="17"/>
        <v>#VALUE!</v>
      </c>
      <c r="U23" s="40" t="e">
        <f>[1]!HsGetValue(conn,"Entity#"&amp;B23&amp;";Account#"&amp;$A$3&amp;大表科目本位幣調整后)*M23</f>
        <v>#VALUE!</v>
      </c>
      <c r="V23" s="53">
        <f t="shared" si="18"/>
        <v>0</v>
      </c>
    </row>
    <row r="24" spans="2:22">
      <c r="B24" s="9" t="s">
        <v>25</v>
      </c>
      <c r="C24" s="3" t="str">
        <f>[1]!HsDescription(conn,"Entity#"&amp;B24)</f>
        <v>#NEED_REFRESH</v>
      </c>
      <c r="D24" s="31" t="s">
        <v>71</v>
      </c>
      <c r="E24" s="45" t="e">
        <f>[1]!HsGetValue(conn,"Entity#"&amp;B24&amp;";Account#"&amp;$A$6&amp;大表科目本位幣調整前)+K24</f>
        <v>#VALUE!</v>
      </c>
      <c r="F24" s="7" t="str">
        <f>[1]!HsGetValue(conn,"Entity#"&amp;B24&amp;";Account#"&amp;$A$7&amp;大表科目本位幣調整前)</f>
        <v>#NEED_REFRESH</v>
      </c>
      <c r="G24" s="7" t="str">
        <f>[1]!HsGetValue(conn,"Entity#"&amp;B24&amp;";Account#"&amp;$A$8&amp;大表科目本位幣調整前)</f>
        <v>#NEED_REFRESH</v>
      </c>
      <c r="H24" s="7" t="str">
        <f>[1]!HsGetValue(conn,"Entity#"&amp;B24&amp;";Account#"&amp;$A$9&amp;大表科目本位幣調整前)</f>
        <v>#NEED_REFRESH</v>
      </c>
      <c r="I24" s="7" t="str">
        <f>[1]!HsGetValue(conn,"Entity#"&amp;B24&amp;";Account#"&amp;$A$10&amp;大表科目本位幣調整前)</f>
        <v>#NEED_REFRESH</v>
      </c>
      <c r="J24" s="7" t="str">
        <f>[1]!HsGetValue(conn,"Entity#"&amp;B24&amp;";Account#"&amp;$A$11&amp;大表科目本位幣調整前)</f>
        <v>#NEED_REFRESH</v>
      </c>
      <c r="K24" s="7" t="str">
        <f>[1]!HsGetValue(conn,"Entity#"&amp;B24&amp;";Account#"&amp;$A$12&amp;大表科目本位幣調整前)</f>
        <v>#NEED_REFRESH</v>
      </c>
      <c r="L24" s="10" t="e">
        <f t="shared" si="10"/>
        <v>#VALUE!</v>
      </c>
      <c r="M24" s="72">
        <f>IF($D24="USD",1,IF($D24="NTD",1/[1]!HsGetValue(conn,USD換算成NTD的期末匯率),[1]!HsGetValue(conn,"Custom1#"&amp;$D24&amp;換算成USD的期末匯率)))</f>
        <v>1</v>
      </c>
      <c r="N24" s="34" t="e">
        <f t="shared" si="11"/>
        <v>#VALUE!</v>
      </c>
      <c r="O24" s="34" t="e">
        <f t="shared" si="12"/>
        <v>#VALUE!</v>
      </c>
      <c r="P24" s="34" t="e">
        <f t="shared" si="13"/>
        <v>#VALUE!</v>
      </c>
      <c r="Q24" s="34" t="e">
        <f t="shared" si="14"/>
        <v>#VALUE!</v>
      </c>
      <c r="R24" s="34" t="e">
        <f t="shared" si="15"/>
        <v>#VALUE!</v>
      </c>
      <c r="S24" s="34" t="e">
        <f t="shared" si="16"/>
        <v>#VALUE!</v>
      </c>
      <c r="T24" s="10" t="e">
        <f t="shared" si="17"/>
        <v>#VALUE!</v>
      </c>
      <c r="U24" s="40" t="e">
        <f>[1]!HsGetValue(conn,"Entity#"&amp;B24&amp;";Account#"&amp;$A$3&amp;大表科目本位幣調整后)*M24</f>
        <v>#VALUE!</v>
      </c>
      <c r="V24" s="53">
        <f t="shared" si="18"/>
        <v>0</v>
      </c>
    </row>
    <row r="25" spans="2:22">
      <c r="B25" s="9" t="s">
        <v>26</v>
      </c>
      <c r="C25" s="3" t="str">
        <f>[1]!HsDescription(conn,"Entity#"&amp;B25)</f>
        <v>#NEED_REFRESH</v>
      </c>
      <c r="D25" s="31" t="s">
        <v>80</v>
      </c>
      <c r="E25" s="45" t="e">
        <f>[1]!HsGetValue(conn,"Entity#"&amp;B25&amp;";Account#"&amp;$A$6&amp;大表科目本位幣調整前)+K25</f>
        <v>#VALUE!</v>
      </c>
      <c r="F25" s="7" t="str">
        <f>[1]!HsGetValue(conn,"Entity#"&amp;B25&amp;";Account#"&amp;$A$7&amp;大表科目本位幣調整前)</f>
        <v>#NEED_REFRESH</v>
      </c>
      <c r="G25" s="7" t="str">
        <f>[1]!HsGetValue(conn,"Entity#"&amp;B25&amp;";Account#"&amp;$A$8&amp;大表科目本位幣調整前)</f>
        <v>#NEED_REFRESH</v>
      </c>
      <c r="H25" s="7" t="str">
        <f>[1]!HsGetValue(conn,"Entity#"&amp;B25&amp;";Account#"&amp;$A$9&amp;大表科目本位幣調整前)</f>
        <v>#NEED_REFRESH</v>
      </c>
      <c r="I25" s="7" t="str">
        <f>[1]!HsGetValue(conn,"Entity#"&amp;B25&amp;";Account#"&amp;$A$10&amp;大表科目本位幣調整前)</f>
        <v>#NEED_REFRESH</v>
      </c>
      <c r="J25" s="7" t="str">
        <f>[1]!HsGetValue(conn,"Entity#"&amp;B25&amp;";Account#"&amp;$A$11&amp;大表科目本位幣調整前)</f>
        <v>#NEED_REFRESH</v>
      </c>
      <c r="K25" s="7" t="str">
        <f>[1]!HsGetValue(conn,"Entity#"&amp;B25&amp;";Account#"&amp;$A$12&amp;大表科目本位幣調整前)</f>
        <v>#NEED_REFRESH</v>
      </c>
      <c r="L25" s="10" t="e">
        <f t="shared" si="10"/>
        <v>#VALUE!</v>
      </c>
      <c r="M25" s="72" t="str">
        <f>IF($D25="USD",1,IF($D25="NTD",1/[1]!HsGetValue(conn,USD換算成NTD的期末匯率),[1]!HsGetValue(conn,"Custom1#"&amp;$D25&amp;換算成USD的期末匯率)))</f>
        <v>#NEED_REFRESH</v>
      </c>
      <c r="N25" s="34" t="e">
        <f t="shared" si="11"/>
        <v>#VALUE!</v>
      </c>
      <c r="O25" s="34" t="e">
        <f t="shared" si="12"/>
        <v>#VALUE!</v>
      </c>
      <c r="P25" s="34" t="e">
        <f t="shared" si="13"/>
        <v>#VALUE!</v>
      </c>
      <c r="Q25" s="34" t="e">
        <f t="shared" si="14"/>
        <v>#VALUE!</v>
      </c>
      <c r="R25" s="34" t="e">
        <f t="shared" si="15"/>
        <v>#VALUE!</v>
      </c>
      <c r="S25" s="34" t="e">
        <f t="shared" si="16"/>
        <v>#VALUE!</v>
      </c>
      <c r="T25" s="10" t="e">
        <f t="shared" si="17"/>
        <v>#VALUE!</v>
      </c>
      <c r="U25" s="40" t="e">
        <f>[1]!HsGetValue(conn,"Entity#"&amp;B25&amp;";Account#"&amp;$A$3&amp;大表科目本位幣調整后)*M25</f>
        <v>#VALUE!</v>
      </c>
      <c r="V25" s="53">
        <f t="shared" si="18"/>
        <v>0</v>
      </c>
    </row>
    <row r="26" spans="2:22">
      <c r="B26" s="9" t="s">
        <v>27</v>
      </c>
      <c r="C26" s="3" t="str">
        <f>[1]!HsDescription(conn,"Entity#"&amp;B26)</f>
        <v>#NEED_REFRESH</v>
      </c>
      <c r="D26" s="31" t="s">
        <v>75</v>
      </c>
      <c r="E26" s="45" t="e">
        <f>[1]!HsGetValue(conn,"Entity#"&amp;B26&amp;";Account#"&amp;$A$6&amp;大表科目本位幣調整前)+K26</f>
        <v>#VALUE!</v>
      </c>
      <c r="F26" s="7" t="str">
        <f>[1]!HsGetValue(conn,"Entity#"&amp;B26&amp;";Account#"&amp;$A$7&amp;大表科目本位幣調整前)</f>
        <v>#NEED_REFRESH</v>
      </c>
      <c r="G26" s="7" t="str">
        <f>[1]!HsGetValue(conn,"Entity#"&amp;B26&amp;";Account#"&amp;$A$8&amp;大表科目本位幣調整前)</f>
        <v>#NEED_REFRESH</v>
      </c>
      <c r="H26" s="7" t="str">
        <f>[1]!HsGetValue(conn,"Entity#"&amp;B26&amp;";Account#"&amp;$A$9&amp;大表科目本位幣調整前)</f>
        <v>#NEED_REFRESH</v>
      </c>
      <c r="I26" s="7" t="str">
        <f>[1]!HsGetValue(conn,"Entity#"&amp;B26&amp;";Account#"&amp;$A$10&amp;大表科目本位幣調整前)</f>
        <v>#NEED_REFRESH</v>
      </c>
      <c r="J26" s="7" t="str">
        <f>[1]!HsGetValue(conn,"Entity#"&amp;B26&amp;";Account#"&amp;$A$11&amp;大表科目本位幣調整前)</f>
        <v>#NEED_REFRESH</v>
      </c>
      <c r="K26" s="7" t="str">
        <f>[1]!HsGetValue(conn,"Entity#"&amp;B26&amp;";Account#"&amp;$A$12&amp;大表科目本位幣調整前)</f>
        <v>#NEED_REFRESH</v>
      </c>
      <c r="L26" s="10" t="e">
        <f t="shared" si="10"/>
        <v>#VALUE!</v>
      </c>
      <c r="M26" s="72" t="str">
        <f>IF($D26="USD",1,IF($D26="NTD",1/[1]!HsGetValue(conn,USD換算成NTD的期末匯率),[1]!HsGetValue(conn,"Custom1#"&amp;$D26&amp;換算成USD的期末匯率)))</f>
        <v>#NEED_REFRESH</v>
      </c>
      <c r="N26" s="34" t="e">
        <f t="shared" si="11"/>
        <v>#VALUE!</v>
      </c>
      <c r="O26" s="34" t="e">
        <f t="shared" si="12"/>
        <v>#VALUE!</v>
      </c>
      <c r="P26" s="34" t="e">
        <f t="shared" si="13"/>
        <v>#VALUE!</v>
      </c>
      <c r="Q26" s="34" t="e">
        <f t="shared" si="14"/>
        <v>#VALUE!</v>
      </c>
      <c r="R26" s="34" t="e">
        <f t="shared" si="15"/>
        <v>#VALUE!</v>
      </c>
      <c r="S26" s="34" t="e">
        <f t="shared" si="16"/>
        <v>#VALUE!</v>
      </c>
      <c r="T26" s="10" t="e">
        <f t="shared" si="17"/>
        <v>#VALUE!</v>
      </c>
      <c r="U26" s="40" t="e">
        <f>[1]!HsGetValue(conn,"Entity#"&amp;B26&amp;";Account#"&amp;$A$3&amp;大表科目本位幣調整后)*M26</f>
        <v>#VALUE!</v>
      </c>
      <c r="V26" s="53">
        <f t="shared" si="18"/>
        <v>0</v>
      </c>
    </row>
    <row r="27" spans="2:22">
      <c r="B27" s="9" t="s">
        <v>28</v>
      </c>
      <c r="C27" s="3" t="str">
        <f>[1]!HsDescription(conn,"Entity#"&amp;B27)</f>
        <v>#NEED_REFRESH</v>
      </c>
      <c r="D27" s="31" t="s">
        <v>80</v>
      </c>
      <c r="E27" s="45" t="e">
        <f>[1]!HsGetValue(conn,"Entity#"&amp;B27&amp;";Account#"&amp;$A$6&amp;大表科目本位幣調整前)+K27</f>
        <v>#VALUE!</v>
      </c>
      <c r="F27" s="7" t="str">
        <f>[1]!HsGetValue(conn,"Entity#"&amp;B27&amp;";Account#"&amp;$A$7&amp;大表科目本位幣調整前)</f>
        <v>#NEED_REFRESH</v>
      </c>
      <c r="G27" s="7" t="str">
        <f>[1]!HsGetValue(conn,"Entity#"&amp;B27&amp;";Account#"&amp;$A$8&amp;大表科目本位幣調整前)</f>
        <v>#NEED_REFRESH</v>
      </c>
      <c r="H27" s="7" t="str">
        <f>[1]!HsGetValue(conn,"Entity#"&amp;B27&amp;";Account#"&amp;$A$9&amp;大表科目本位幣調整前)</f>
        <v>#NEED_REFRESH</v>
      </c>
      <c r="I27" s="7" t="str">
        <f>[1]!HsGetValue(conn,"Entity#"&amp;B27&amp;";Account#"&amp;$A$10&amp;大表科目本位幣調整前)</f>
        <v>#NEED_REFRESH</v>
      </c>
      <c r="J27" s="7" t="str">
        <f>[1]!HsGetValue(conn,"Entity#"&amp;B27&amp;";Account#"&amp;$A$11&amp;大表科目本位幣調整前)</f>
        <v>#NEED_REFRESH</v>
      </c>
      <c r="K27" s="7" t="str">
        <f>[1]!HsGetValue(conn,"Entity#"&amp;B27&amp;";Account#"&amp;$A$12&amp;大表科目本位幣調整前)</f>
        <v>#NEED_REFRESH</v>
      </c>
      <c r="L27" s="10" t="e">
        <f t="shared" si="10"/>
        <v>#VALUE!</v>
      </c>
      <c r="M27" s="72" t="str">
        <f>IF($D27="USD",1,IF($D27="NTD",1/[1]!HsGetValue(conn,USD換算成NTD的期末匯率),[1]!HsGetValue(conn,"Custom1#"&amp;$D27&amp;換算成USD的期末匯率)))</f>
        <v>#NEED_REFRESH</v>
      </c>
      <c r="N27" s="34" t="e">
        <f t="shared" si="11"/>
        <v>#VALUE!</v>
      </c>
      <c r="O27" s="34" t="e">
        <f t="shared" si="12"/>
        <v>#VALUE!</v>
      </c>
      <c r="P27" s="34" t="e">
        <f t="shared" si="13"/>
        <v>#VALUE!</v>
      </c>
      <c r="Q27" s="34" t="e">
        <f t="shared" si="14"/>
        <v>#VALUE!</v>
      </c>
      <c r="R27" s="34" t="e">
        <f t="shared" si="15"/>
        <v>#VALUE!</v>
      </c>
      <c r="S27" s="34" t="e">
        <f t="shared" si="16"/>
        <v>#VALUE!</v>
      </c>
      <c r="T27" s="10" t="e">
        <f t="shared" si="17"/>
        <v>#VALUE!</v>
      </c>
      <c r="U27" s="40" t="e">
        <f>[1]!HsGetValue(conn,"Entity#"&amp;B27&amp;";Account#"&amp;$A$3&amp;大表科目本位幣調整后)*M27</f>
        <v>#VALUE!</v>
      </c>
      <c r="V27" s="53">
        <f t="shared" si="18"/>
        <v>0</v>
      </c>
    </row>
    <row r="28" spans="2:22">
      <c r="B28" s="9" t="s">
        <v>29</v>
      </c>
      <c r="C28" s="3" t="str">
        <f>[1]!HsDescription(conn,"Entity#"&amp;B28)</f>
        <v>#NEED_REFRESH</v>
      </c>
      <c r="D28" s="31" t="s">
        <v>80</v>
      </c>
      <c r="E28" s="45" t="e">
        <f>[1]!HsGetValue(conn,"Entity#"&amp;B28&amp;";Account#"&amp;$A$6&amp;大表科目本位幣調整前)+K28</f>
        <v>#VALUE!</v>
      </c>
      <c r="F28" s="7" t="str">
        <f>[1]!HsGetValue(conn,"Entity#"&amp;B28&amp;";Account#"&amp;$A$7&amp;大表科目本位幣調整前)</f>
        <v>#NEED_REFRESH</v>
      </c>
      <c r="G28" s="7" t="str">
        <f>[1]!HsGetValue(conn,"Entity#"&amp;B28&amp;";Account#"&amp;$A$8&amp;大表科目本位幣調整前)</f>
        <v>#NEED_REFRESH</v>
      </c>
      <c r="H28" s="7" t="str">
        <f>[1]!HsGetValue(conn,"Entity#"&amp;B28&amp;";Account#"&amp;$A$9&amp;大表科目本位幣調整前)</f>
        <v>#NEED_REFRESH</v>
      </c>
      <c r="I28" s="7" t="str">
        <f>[1]!HsGetValue(conn,"Entity#"&amp;B28&amp;";Account#"&amp;$A$10&amp;大表科目本位幣調整前)</f>
        <v>#NEED_REFRESH</v>
      </c>
      <c r="J28" s="7" t="str">
        <f>[1]!HsGetValue(conn,"Entity#"&amp;B28&amp;";Account#"&amp;$A$11&amp;大表科目本位幣調整前)</f>
        <v>#NEED_REFRESH</v>
      </c>
      <c r="K28" s="7" t="str">
        <f>[1]!HsGetValue(conn,"Entity#"&amp;B28&amp;";Account#"&amp;$A$12&amp;大表科目本位幣調整前)</f>
        <v>#NEED_REFRESH</v>
      </c>
      <c r="L28" s="10" t="e">
        <f t="shared" si="10"/>
        <v>#VALUE!</v>
      </c>
      <c r="M28" s="72" t="str">
        <f>IF($D28="USD",1,IF($D28="NTD",1/[1]!HsGetValue(conn,USD換算成NTD的期末匯率),[1]!HsGetValue(conn,"Custom1#"&amp;$D28&amp;換算成USD的期末匯率)))</f>
        <v>#NEED_REFRESH</v>
      </c>
      <c r="N28" s="34" t="e">
        <f t="shared" si="11"/>
        <v>#VALUE!</v>
      </c>
      <c r="O28" s="34" t="e">
        <f t="shared" si="12"/>
        <v>#VALUE!</v>
      </c>
      <c r="P28" s="34" t="e">
        <f t="shared" si="13"/>
        <v>#VALUE!</v>
      </c>
      <c r="Q28" s="34" t="e">
        <f t="shared" si="14"/>
        <v>#VALUE!</v>
      </c>
      <c r="R28" s="34" t="e">
        <f t="shared" si="15"/>
        <v>#VALUE!</v>
      </c>
      <c r="S28" s="34" t="e">
        <f t="shared" si="16"/>
        <v>#VALUE!</v>
      </c>
      <c r="T28" s="10" t="e">
        <f t="shared" si="17"/>
        <v>#VALUE!</v>
      </c>
      <c r="U28" s="40" t="e">
        <f>[1]!HsGetValue(conn,"Entity#"&amp;B28&amp;";Account#"&amp;$A$3&amp;大表科目本位幣調整后)*M28</f>
        <v>#VALUE!</v>
      </c>
      <c r="V28" s="53">
        <f t="shared" si="18"/>
        <v>0</v>
      </c>
    </row>
    <row r="29" spans="2:22">
      <c r="B29" s="9" t="s">
        <v>30</v>
      </c>
      <c r="C29" s="3" t="str">
        <f>[1]!HsDescription(conn,"Entity#"&amp;B29)</f>
        <v>#NEED_REFRESH</v>
      </c>
      <c r="D29" s="31" t="s">
        <v>80</v>
      </c>
      <c r="E29" s="45" t="e">
        <f>[1]!HsGetValue(conn,"Entity#"&amp;B29&amp;";Account#"&amp;$A$6&amp;大表科目本位幣調整前)+K29</f>
        <v>#VALUE!</v>
      </c>
      <c r="F29" s="7" t="str">
        <f>[1]!HsGetValue(conn,"Entity#"&amp;B29&amp;";Account#"&amp;$A$7&amp;大表科目本位幣調整前)</f>
        <v>#NEED_REFRESH</v>
      </c>
      <c r="G29" s="49" t="str">
        <f>[1]!HsGetValue(conn,"Entity#"&amp;B29&amp;";Account#"&amp;$A$8&amp;大表科目本位幣調整前)</f>
        <v>#NEED_REFRESH</v>
      </c>
      <c r="H29" s="7" t="str">
        <f>[1]!HsGetValue(conn,"Entity#"&amp;B29&amp;";Account#"&amp;$A$9&amp;大表科目本位幣調整前)</f>
        <v>#NEED_REFRESH</v>
      </c>
      <c r="I29" s="7" t="str">
        <f>[1]!HsGetValue(conn,"Entity#"&amp;B29&amp;";Account#"&amp;$A$10&amp;大表科目本位幣調整前)</f>
        <v>#NEED_REFRESH</v>
      </c>
      <c r="J29" s="7" t="str">
        <f>[1]!HsGetValue(conn,"Entity#"&amp;B29&amp;";Account#"&amp;$A$11&amp;大表科目本位幣調整前)</f>
        <v>#NEED_REFRESH</v>
      </c>
      <c r="K29" s="7" t="str">
        <f>[1]!HsGetValue(conn,"Entity#"&amp;B29&amp;";Account#"&amp;$A$12&amp;大表科目本位幣調整前)</f>
        <v>#NEED_REFRESH</v>
      </c>
      <c r="L29" s="10" t="e">
        <f t="shared" si="10"/>
        <v>#VALUE!</v>
      </c>
      <c r="M29" s="72" t="str">
        <f>IF($D29="USD",1,IF($D29="NTD",1/[1]!HsGetValue(conn,USD換算成NTD的期末匯率),[1]!HsGetValue(conn,"Custom1#"&amp;$D29&amp;換算成USD的期末匯率)))</f>
        <v>#NEED_REFRESH</v>
      </c>
      <c r="N29" s="34" t="e">
        <f t="shared" si="11"/>
        <v>#VALUE!</v>
      </c>
      <c r="O29" s="34" t="e">
        <f t="shared" si="12"/>
        <v>#VALUE!</v>
      </c>
      <c r="P29" s="34" t="e">
        <f t="shared" si="13"/>
        <v>#VALUE!</v>
      </c>
      <c r="Q29" s="34" t="e">
        <f t="shared" si="14"/>
        <v>#VALUE!</v>
      </c>
      <c r="R29" s="34" t="e">
        <f t="shared" si="15"/>
        <v>#VALUE!</v>
      </c>
      <c r="S29" s="34" t="e">
        <f t="shared" si="16"/>
        <v>#VALUE!</v>
      </c>
      <c r="T29" s="10" t="e">
        <f t="shared" si="17"/>
        <v>#VALUE!</v>
      </c>
      <c r="U29" s="40" t="e">
        <f>[1]!HsGetValue(conn,"Entity#"&amp;B29&amp;";Account#"&amp;$A$3&amp;大表科目本位幣調整后)*M29</f>
        <v>#VALUE!</v>
      </c>
      <c r="V29" s="53">
        <f t="shared" si="18"/>
        <v>0</v>
      </c>
    </row>
    <row r="30" spans="2:22">
      <c r="B30" s="9" t="s">
        <v>31</v>
      </c>
      <c r="C30" s="3" t="str">
        <f>[1]!HsDescription(conn,"Entity#"&amp;B30)</f>
        <v>#NEED_REFRESH</v>
      </c>
      <c r="D30" s="31" t="s">
        <v>80</v>
      </c>
      <c r="E30" s="45" t="e">
        <f>[1]!HsGetValue(conn,"Entity#"&amp;B30&amp;";Account#"&amp;$A$6&amp;大表科目本位幣調整前)+K30</f>
        <v>#VALUE!</v>
      </c>
      <c r="F30" s="7" t="str">
        <f>[1]!HsGetValue(conn,"Entity#"&amp;B30&amp;";Account#"&amp;$A$7&amp;大表科目本位幣調整前)</f>
        <v>#NEED_REFRESH</v>
      </c>
      <c r="G30" s="7" t="str">
        <f>[1]!HsGetValue(conn,"Entity#"&amp;B30&amp;";Account#"&amp;$A$8&amp;大表科目本位幣調整前)</f>
        <v>#NEED_REFRESH</v>
      </c>
      <c r="H30" s="7" t="str">
        <f>[1]!HsGetValue(conn,"Entity#"&amp;B30&amp;";Account#"&amp;$A$9&amp;大表科目本位幣調整前)</f>
        <v>#NEED_REFRESH</v>
      </c>
      <c r="I30" s="7" t="str">
        <f>[1]!HsGetValue(conn,"Entity#"&amp;B30&amp;";Account#"&amp;$A$10&amp;大表科目本位幣調整前)</f>
        <v>#NEED_REFRESH</v>
      </c>
      <c r="J30" s="7" t="str">
        <f>[1]!HsGetValue(conn,"Entity#"&amp;B30&amp;";Account#"&amp;$A$11&amp;大表科目本位幣調整前)</f>
        <v>#NEED_REFRESH</v>
      </c>
      <c r="K30" s="7" t="str">
        <f>[1]!HsGetValue(conn,"Entity#"&amp;B30&amp;";Account#"&amp;$A$12&amp;大表科目本位幣調整前)</f>
        <v>#NEED_REFRESH</v>
      </c>
      <c r="L30" s="10" t="e">
        <f t="shared" si="10"/>
        <v>#VALUE!</v>
      </c>
      <c r="M30" s="72" t="str">
        <f>IF($D30="USD",1,IF($D30="NTD",1/[1]!HsGetValue(conn,USD換算成NTD的期末匯率),[1]!HsGetValue(conn,"Custom1#"&amp;$D30&amp;換算成USD的期末匯率)))</f>
        <v>#NEED_REFRESH</v>
      </c>
      <c r="N30" s="34" t="e">
        <f t="shared" si="11"/>
        <v>#VALUE!</v>
      </c>
      <c r="O30" s="34" t="e">
        <f t="shared" si="12"/>
        <v>#VALUE!</v>
      </c>
      <c r="P30" s="34" t="e">
        <f t="shared" si="13"/>
        <v>#VALUE!</v>
      </c>
      <c r="Q30" s="34" t="e">
        <f t="shared" si="14"/>
        <v>#VALUE!</v>
      </c>
      <c r="R30" s="34" t="e">
        <f t="shared" si="15"/>
        <v>#VALUE!</v>
      </c>
      <c r="S30" s="34" t="e">
        <f t="shared" si="16"/>
        <v>#VALUE!</v>
      </c>
      <c r="T30" s="10" t="e">
        <f t="shared" si="17"/>
        <v>#VALUE!</v>
      </c>
      <c r="U30" s="40" t="e">
        <f>[1]!HsGetValue(conn,"Entity#"&amp;B30&amp;";Account#"&amp;$A$3&amp;大表科目本位幣調整后)*M30</f>
        <v>#VALUE!</v>
      </c>
      <c r="V30" s="53">
        <f t="shared" si="18"/>
        <v>0</v>
      </c>
    </row>
    <row r="31" spans="2:22">
      <c r="B31" s="9" t="s">
        <v>32</v>
      </c>
      <c r="C31" s="3" t="str">
        <f>[1]!HsDescription(conn,"Entity#"&amp;B31)</f>
        <v>#NEED_REFRESH</v>
      </c>
      <c r="D31" s="31" t="s">
        <v>80</v>
      </c>
      <c r="E31" s="45" t="e">
        <f>[1]!HsGetValue(conn,"Entity#"&amp;B31&amp;";Account#"&amp;$A$6&amp;大表科目本位幣調整前)+K31</f>
        <v>#VALUE!</v>
      </c>
      <c r="F31" s="7" t="str">
        <f>[1]!HsGetValue(conn,"Entity#"&amp;B31&amp;";Account#"&amp;$A$7&amp;大表科目本位幣調整前)</f>
        <v>#NEED_REFRESH</v>
      </c>
      <c r="G31" s="7" t="str">
        <f>[1]!HsGetValue(conn,"Entity#"&amp;B31&amp;";Account#"&amp;$A$8&amp;大表科目本位幣調整前)</f>
        <v>#NEED_REFRESH</v>
      </c>
      <c r="H31" s="7" t="str">
        <f>[1]!HsGetValue(conn,"Entity#"&amp;B31&amp;";Account#"&amp;$A$9&amp;大表科目本位幣調整前)</f>
        <v>#NEED_REFRESH</v>
      </c>
      <c r="I31" s="7" t="str">
        <f>[1]!HsGetValue(conn,"Entity#"&amp;B31&amp;";Account#"&amp;$A$10&amp;大表科目本位幣調整前)</f>
        <v>#NEED_REFRESH</v>
      </c>
      <c r="J31" s="7" t="str">
        <f>[1]!HsGetValue(conn,"Entity#"&amp;B31&amp;";Account#"&amp;$A$11&amp;大表科目本位幣調整前)</f>
        <v>#NEED_REFRESH</v>
      </c>
      <c r="K31" s="7" t="str">
        <f>[1]!HsGetValue(conn,"Entity#"&amp;B31&amp;";Account#"&amp;$A$12&amp;大表科目本位幣調整前)</f>
        <v>#NEED_REFRESH</v>
      </c>
      <c r="L31" s="10" t="e">
        <f t="shared" si="10"/>
        <v>#VALUE!</v>
      </c>
      <c r="M31" s="72" t="str">
        <f>IF($D31="USD",1,IF($D31="NTD",1/[1]!HsGetValue(conn,USD換算成NTD的期末匯率),[1]!HsGetValue(conn,"Custom1#"&amp;$D31&amp;換算成USD的期末匯率)))</f>
        <v>#NEED_REFRESH</v>
      </c>
      <c r="N31" s="34" t="e">
        <f t="shared" si="11"/>
        <v>#VALUE!</v>
      </c>
      <c r="O31" s="34" t="e">
        <f t="shared" si="12"/>
        <v>#VALUE!</v>
      </c>
      <c r="P31" s="34" t="e">
        <f t="shared" si="13"/>
        <v>#VALUE!</v>
      </c>
      <c r="Q31" s="34" t="e">
        <f t="shared" si="14"/>
        <v>#VALUE!</v>
      </c>
      <c r="R31" s="34" t="e">
        <f t="shared" si="15"/>
        <v>#VALUE!</v>
      </c>
      <c r="S31" s="34" t="e">
        <f t="shared" si="16"/>
        <v>#VALUE!</v>
      </c>
      <c r="T31" s="10" t="e">
        <f t="shared" si="17"/>
        <v>#VALUE!</v>
      </c>
      <c r="U31" s="40" t="e">
        <f>[1]!HsGetValue(conn,"Entity#"&amp;B31&amp;";Account#"&amp;$A$3&amp;大表科目本位幣調整后)*M31</f>
        <v>#VALUE!</v>
      </c>
      <c r="V31" s="53">
        <f t="shared" si="18"/>
        <v>0</v>
      </c>
    </row>
    <row r="32" spans="2:22">
      <c r="B32" s="9" t="s">
        <v>33</v>
      </c>
      <c r="C32" s="3" t="str">
        <f>[1]!HsDescription(conn,"Entity#"&amp;B32)</f>
        <v>#NEED_REFRESH</v>
      </c>
      <c r="D32" s="31" t="s">
        <v>80</v>
      </c>
      <c r="E32" s="45" t="e">
        <f>[1]!HsGetValue(conn,"Entity#"&amp;B32&amp;";Account#"&amp;$A$6&amp;大表科目本位幣調整前)+K32</f>
        <v>#VALUE!</v>
      </c>
      <c r="F32" s="7" t="str">
        <f>[1]!HsGetValue(conn,"Entity#"&amp;B32&amp;";Account#"&amp;$A$7&amp;大表科目本位幣調整前)</f>
        <v>#NEED_REFRESH</v>
      </c>
      <c r="G32" s="7" t="str">
        <f>[1]!HsGetValue(conn,"Entity#"&amp;B32&amp;";Account#"&amp;$A$8&amp;大表科目本位幣調整前)</f>
        <v>#NEED_REFRESH</v>
      </c>
      <c r="H32" s="7" t="str">
        <f>[1]!HsGetValue(conn,"Entity#"&amp;B32&amp;";Account#"&amp;$A$9&amp;大表科目本位幣調整前)</f>
        <v>#NEED_REFRESH</v>
      </c>
      <c r="I32" s="7" t="str">
        <f>[1]!HsGetValue(conn,"Entity#"&amp;B32&amp;";Account#"&amp;$A$10&amp;大表科目本位幣調整前)</f>
        <v>#NEED_REFRESH</v>
      </c>
      <c r="J32" s="7" t="str">
        <f>[1]!HsGetValue(conn,"Entity#"&amp;B32&amp;";Account#"&amp;$A$11&amp;大表科目本位幣調整前)</f>
        <v>#NEED_REFRESH</v>
      </c>
      <c r="K32" s="7" t="str">
        <f>[1]!HsGetValue(conn,"Entity#"&amp;B32&amp;";Account#"&amp;$A$12&amp;大表科目本位幣調整前)</f>
        <v>#NEED_REFRESH</v>
      </c>
      <c r="L32" s="10" t="e">
        <f t="shared" si="10"/>
        <v>#VALUE!</v>
      </c>
      <c r="M32" s="72" t="str">
        <f>IF($D32="USD",1,IF($D32="NTD",1/[1]!HsGetValue(conn,USD換算成NTD的期末匯率),[1]!HsGetValue(conn,"Custom1#"&amp;$D32&amp;換算成USD的期末匯率)))</f>
        <v>#NEED_REFRESH</v>
      </c>
      <c r="N32" s="34" t="e">
        <f t="shared" si="11"/>
        <v>#VALUE!</v>
      </c>
      <c r="O32" s="34" t="e">
        <f t="shared" si="12"/>
        <v>#VALUE!</v>
      </c>
      <c r="P32" s="34" t="e">
        <f t="shared" si="13"/>
        <v>#VALUE!</v>
      </c>
      <c r="Q32" s="34" t="e">
        <f t="shared" si="14"/>
        <v>#VALUE!</v>
      </c>
      <c r="R32" s="34" t="e">
        <f t="shared" si="15"/>
        <v>#VALUE!</v>
      </c>
      <c r="S32" s="34" t="e">
        <f t="shared" si="16"/>
        <v>#VALUE!</v>
      </c>
      <c r="T32" s="10" t="e">
        <f t="shared" si="17"/>
        <v>#VALUE!</v>
      </c>
      <c r="U32" s="40" t="e">
        <f>[1]!HsGetValue(conn,"Entity#"&amp;B32&amp;";Account#"&amp;$A$3&amp;大表科目本位幣調整后)*M32</f>
        <v>#VALUE!</v>
      </c>
      <c r="V32" s="53">
        <f t="shared" si="18"/>
        <v>0</v>
      </c>
    </row>
    <row r="33" spans="2:22">
      <c r="B33" s="9" t="s">
        <v>34</v>
      </c>
      <c r="C33" s="3" t="str">
        <f>[1]!HsDescription(conn,"Entity#"&amp;B33)</f>
        <v>#NEED_REFRESH</v>
      </c>
      <c r="D33" s="31" t="s">
        <v>71</v>
      </c>
      <c r="E33" s="45" t="e">
        <f>[1]!HsGetValue(conn,"Entity#"&amp;B33&amp;";Account#"&amp;$A$6&amp;大表科目本位幣調整前)+K33</f>
        <v>#VALUE!</v>
      </c>
      <c r="F33" s="7" t="str">
        <f>[1]!HsGetValue(conn,"Entity#"&amp;B33&amp;";Account#"&amp;$A$7&amp;大表科目本位幣調整前)</f>
        <v>#NEED_REFRESH</v>
      </c>
      <c r="G33" s="7" t="str">
        <f>[1]!HsGetValue(conn,"Entity#"&amp;B33&amp;";Account#"&amp;$A$8&amp;大表科目本位幣調整前)</f>
        <v>#NEED_REFRESH</v>
      </c>
      <c r="H33" s="7" t="str">
        <f>[1]!HsGetValue(conn,"Entity#"&amp;B33&amp;";Account#"&amp;$A$9&amp;大表科目本位幣調整前)</f>
        <v>#NEED_REFRESH</v>
      </c>
      <c r="I33" s="7" t="str">
        <f>[1]!HsGetValue(conn,"Entity#"&amp;B33&amp;";Account#"&amp;$A$10&amp;大表科目本位幣調整前)</f>
        <v>#NEED_REFRESH</v>
      </c>
      <c r="J33" s="7" t="str">
        <f>[1]!HsGetValue(conn,"Entity#"&amp;B33&amp;";Account#"&amp;$A$11&amp;大表科目本位幣調整前)</f>
        <v>#NEED_REFRESH</v>
      </c>
      <c r="K33" s="7" t="str">
        <f>[1]!HsGetValue(conn,"Entity#"&amp;B33&amp;";Account#"&amp;$A$12&amp;大表科目本位幣調整前)</f>
        <v>#NEED_REFRESH</v>
      </c>
      <c r="L33" s="10" t="e">
        <f t="shared" si="10"/>
        <v>#VALUE!</v>
      </c>
      <c r="M33" s="72">
        <f>IF($D33="USD",1,IF($D33="NTD",1/[1]!HsGetValue(conn,USD換算成NTD的期末匯率),[1]!HsGetValue(conn,"Custom1#"&amp;$D33&amp;換算成USD的期末匯率)))</f>
        <v>1</v>
      </c>
      <c r="N33" s="34" t="e">
        <f t="shared" si="11"/>
        <v>#VALUE!</v>
      </c>
      <c r="O33" s="34" t="e">
        <f t="shared" si="12"/>
        <v>#VALUE!</v>
      </c>
      <c r="P33" s="34" t="e">
        <f t="shared" si="13"/>
        <v>#VALUE!</v>
      </c>
      <c r="Q33" s="34" t="e">
        <f t="shared" si="14"/>
        <v>#VALUE!</v>
      </c>
      <c r="R33" s="34" t="e">
        <f t="shared" si="15"/>
        <v>#VALUE!</v>
      </c>
      <c r="S33" s="34" t="e">
        <f t="shared" si="16"/>
        <v>#VALUE!</v>
      </c>
      <c r="T33" s="10" t="e">
        <f t="shared" si="17"/>
        <v>#VALUE!</v>
      </c>
      <c r="U33" s="40" t="e">
        <f>[1]!HsGetValue(conn,"Entity#"&amp;B33&amp;";Account#"&amp;$A$3&amp;大表科目本位幣調整后)*M33</f>
        <v>#VALUE!</v>
      </c>
      <c r="V33" s="53">
        <f t="shared" si="18"/>
        <v>0</v>
      </c>
    </row>
    <row r="34" spans="2:22">
      <c r="B34" s="9" t="s">
        <v>35</v>
      </c>
      <c r="C34" s="3" t="str">
        <f>[1]!HsDescription(conn,"Entity#"&amp;B34)</f>
        <v>#NEED_REFRESH</v>
      </c>
      <c r="D34" s="31" t="s">
        <v>71</v>
      </c>
      <c r="E34" s="45" t="e">
        <f>[1]!HsGetValue(conn,"Entity#"&amp;B34&amp;";Account#"&amp;$A$6&amp;大表科目本位幣調整前)+K34</f>
        <v>#VALUE!</v>
      </c>
      <c r="F34" s="7" t="str">
        <f>[1]!HsGetValue(conn,"Entity#"&amp;B34&amp;";Account#"&amp;$A$7&amp;大表科目本位幣調整前)</f>
        <v>#NEED_REFRESH</v>
      </c>
      <c r="G34" s="7" t="str">
        <f>[1]!HsGetValue(conn,"Entity#"&amp;B34&amp;";Account#"&amp;$A$8&amp;大表科目本位幣調整前)</f>
        <v>#NEED_REFRESH</v>
      </c>
      <c r="H34" s="7" t="str">
        <f>[1]!HsGetValue(conn,"Entity#"&amp;B34&amp;";Account#"&amp;$A$9&amp;大表科目本位幣調整前)</f>
        <v>#NEED_REFRESH</v>
      </c>
      <c r="I34" s="7" t="str">
        <f>[1]!HsGetValue(conn,"Entity#"&amp;B34&amp;";Account#"&amp;$A$10&amp;大表科目本位幣調整前)</f>
        <v>#NEED_REFRESH</v>
      </c>
      <c r="J34" s="7" t="str">
        <f>[1]!HsGetValue(conn,"Entity#"&amp;B34&amp;";Account#"&amp;$A$11&amp;大表科目本位幣調整前)</f>
        <v>#NEED_REFRESH</v>
      </c>
      <c r="K34" s="7" t="str">
        <f>[1]!HsGetValue(conn,"Entity#"&amp;B34&amp;";Account#"&amp;$A$12&amp;大表科目本位幣調整前)</f>
        <v>#NEED_REFRESH</v>
      </c>
      <c r="L34" s="10" t="e">
        <f t="shared" si="10"/>
        <v>#VALUE!</v>
      </c>
      <c r="M34" s="72">
        <f>IF($D34="USD",1,IF($D34="NTD",1/[1]!HsGetValue(conn,USD換算成NTD的期末匯率),[1]!HsGetValue(conn,"Custom1#"&amp;$D34&amp;換算成USD的期末匯率)))</f>
        <v>1</v>
      </c>
      <c r="N34" s="34" t="e">
        <f t="shared" si="11"/>
        <v>#VALUE!</v>
      </c>
      <c r="O34" s="34" t="e">
        <f t="shared" si="12"/>
        <v>#VALUE!</v>
      </c>
      <c r="P34" s="34" t="e">
        <f t="shared" si="13"/>
        <v>#VALUE!</v>
      </c>
      <c r="Q34" s="34" t="e">
        <f t="shared" si="14"/>
        <v>#VALUE!</v>
      </c>
      <c r="R34" s="34" t="e">
        <f t="shared" si="15"/>
        <v>#VALUE!</v>
      </c>
      <c r="S34" s="34" t="e">
        <f t="shared" si="16"/>
        <v>#VALUE!</v>
      </c>
      <c r="T34" s="10" t="e">
        <f t="shared" si="17"/>
        <v>#VALUE!</v>
      </c>
      <c r="U34" s="40" t="e">
        <f>[1]!HsGetValue(conn,"Entity#"&amp;B34&amp;";Account#"&amp;$A$3&amp;大表科目本位幣調整后)*M34</f>
        <v>#VALUE!</v>
      </c>
      <c r="V34" s="53">
        <f t="shared" si="18"/>
        <v>0</v>
      </c>
    </row>
    <row r="35" spans="2:22">
      <c r="B35" s="9" t="s">
        <v>36</v>
      </c>
      <c r="C35" s="3" t="str">
        <f>[1]!HsDescription(conn,"Entity#"&amp;B35)</f>
        <v>#NEED_REFRESH</v>
      </c>
      <c r="D35" s="31" t="s">
        <v>71</v>
      </c>
      <c r="E35" s="45" t="e">
        <f>[1]!HsGetValue(conn,"Entity#"&amp;B35&amp;";Account#"&amp;$A$6&amp;大表科目本位幣調整前)+K35</f>
        <v>#VALUE!</v>
      </c>
      <c r="F35" s="7" t="str">
        <f>[1]!HsGetValue(conn,"Entity#"&amp;B35&amp;";Account#"&amp;$A$7&amp;大表科目本位幣調整前)</f>
        <v>#NEED_REFRESH</v>
      </c>
      <c r="G35" s="7" t="str">
        <f>[1]!HsGetValue(conn,"Entity#"&amp;B35&amp;";Account#"&amp;$A$8&amp;大表科目本位幣調整前)</f>
        <v>#NEED_REFRESH</v>
      </c>
      <c r="H35" s="7" t="str">
        <f>[1]!HsGetValue(conn,"Entity#"&amp;B35&amp;";Account#"&amp;$A$9&amp;大表科目本位幣調整前)</f>
        <v>#NEED_REFRESH</v>
      </c>
      <c r="I35" s="7" t="str">
        <f>[1]!HsGetValue(conn,"Entity#"&amp;B35&amp;";Account#"&amp;$A$10&amp;大表科目本位幣調整前)</f>
        <v>#NEED_REFRESH</v>
      </c>
      <c r="J35" s="7" t="str">
        <f>[1]!HsGetValue(conn,"Entity#"&amp;B35&amp;";Account#"&amp;$A$11&amp;大表科目本位幣調整前)</f>
        <v>#NEED_REFRESH</v>
      </c>
      <c r="K35" s="7" t="str">
        <f>[1]!HsGetValue(conn,"Entity#"&amp;B35&amp;";Account#"&amp;$A$12&amp;大表科目本位幣調整前)</f>
        <v>#NEED_REFRESH</v>
      </c>
      <c r="L35" s="10" t="e">
        <f t="shared" si="10"/>
        <v>#VALUE!</v>
      </c>
      <c r="M35" s="72">
        <f>IF($D35="USD",1,IF($D35="NTD",1/[1]!HsGetValue(conn,USD換算成NTD的期末匯率),[1]!HsGetValue(conn,"Custom1#"&amp;$D35&amp;換算成USD的期末匯率)))</f>
        <v>1</v>
      </c>
      <c r="N35" s="34" t="e">
        <f t="shared" si="11"/>
        <v>#VALUE!</v>
      </c>
      <c r="O35" s="34" t="e">
        <f t="shared" si="12"/>
        <v>#VALUE!</v>
      </c>
      <c r="P35" s="34" t="e">
        <f t="shared" si="13"/>
        <v>#VALUE!</v>
      </c>
      <c r="Q35" s="34" t="e">
        <f t="shared" si="14"/>
        <v>#VALUE!</v>
      </c>
      <c r="R35" s="34" t="e">
        <f t="shared" si="15"/>
        <v>#VALUE!</v>
      </c>
      <c r="S35" s="34" t="e">
        <f t="shared" si="16"/>
        <v>#VALUE!</v>
      </c>
      <c r="T35" s="10" t="e">
        <f t="shared" si="17"/>
        <v>#VALUE!</v>
      </c>
      <c r="U35" s="40" t="e">
        <f>[1]!HsGetValue(conn,"Entity#"&amp;B35&amp;";Account#"&amp;$A$3&amp;大表科目本位幣調整后)*M35</f>
        <v>#VALUE!</v>
      </c>
      <c r="V35" s="53">
        <f t="shared" si="18"/>
        <v>0</v>
      </c>
    </row>
    <row r="36" spans="2:22">
      <c r="B36" s="9" t="s">
        <v>37</v>
      </c>
      <c r="C36" s="3" t="str">
        <f>[1]!HsDescription(conn,"Entity#"&amp;B36)</f>
        <v>#NEED_REFRESH</v>
      </c>
      <c r="D36" s="31" t="s">
        <v>71</v>
      </c>
      <c r="E36" s="45" t="e">
        <f>[1]!HsGetValue(conn,"Entity#"&amp;B36&amp;";Account#"&amp;$A$6&amp;大表科目本位幣調整前)+K36</f>
        <v>#VALUE!</v>
      </c>
      <c r="F36" s="7" t="str">
        <f>[1]!HsGetValue(conn,"Entity#"&amp;B36&amp;";Account#"&amp;$A$7&amp;大表科目本位幣調整前)</f>
        <v>#NEED_REFRESH</v>
      </c>
      <c r="G36" s="7" t="str">
        <f>[1]!HsGetValue(conn,"Entity#"&amp;B36&amp;";Account#"&amp;$A$8&amp;大表科目本位幣調整前)</f>
        <v>#NEED_REFRESH</v>
      </c>
      <c r="H36" s="7" t="str">
        <f>[1]!HsGetValue(conn,"Entity#"&amp;B36&amp;";Account#"&amp;$A$9&amp;大表科目本位幣調整前)</f>
        <v>#NEED_REFRESH</v>
      </c>
      <c r="I36" s="7" t="str">
        <f>[1]!HsGetValue(conn,"Entity#"&amp;B36&amp;";Account#"&amp;$A$10&amp;大表科目本位幣調整前)</f>
        <v>#NEED_REFRESH</v>
      </c>
      <c r="J36" s="7" t="str">
        <f>[1]!HsGetValue(conn,"Entity#"&amp;B36&amp;";Account#"&amp;$A$11&amp;大表科目本位幣調整前)</f>
        <v>#NEED_REFRESH</v>
      </c>
      <c r="K36" s="7" t="str">
        <f>[1]!HsGetValue(conn,"Entity#"&amp;B36&amp;";Account#"&amp;$A$12&amp;大表科目本位幣調整前)</f>
        <v>#NEED_REFRESH</v>
      </c>
      <c r="L36" s="10" t="e">
        <f t="shared" si="10"/>
        <v>#VALUE!</v>
      </c>
      <c r="M36" s="72">
        <f>IF($D36="USD",1,IF($D36="NTD",1/[1]!HsGetValue(conn,USD換算成NTD的期末匯率),[1]!HsGetValue(conn,"Custom1#"&amp;$D36&amp;換算成USD的期末匯率)))</f>
        <v>1</v>
      </c>
      <c r="N36" s="34" t="e">
        <f t="shared" si="11"/>
        <v>#VALUE!</v>
      </c>
      <c r="O36" s="34" t="e">
        <f t="shared" si="12"/>
        <v>#VALUE!</v>
      </c>
      <c r="P36" s="34" t="e">
        <f t="shared" si="13"/>
        <v>#VALUE!</v>
      </c>
      <c r="Q36" s="34" t="e">
        <f t="shared" si="14"/>
        <v>#VALUE!</v>
      </c>
      <c r="R36" s="34" t="e">
        <f t="shared" si="15"/>
        <v>#VALUE!</v>
      </c>
      <c r="S36" s="34" t="e">
        <f t="shared" si="16"/>
        <v>#VALUE!</v>
      </c>
      <c r="T36" s="10" t="e">
        <f t="shared" si="17"/>
        <v>#VALUE!</v>
      </c>
      <c r="U36" s="40" t="e">
        <f>[1]!HsGetValue(conn,"Entity#"&amp;B36&amp;";Account#"&amp;$A$3&amp;大表科目本位幣調整后)*M36</f>
        <v>#VALUE!</v>
      </c>
      <c r="V36" s="53">
        <f t="shared" si="18"/>
        <v>0</v>
      </c>
    </row>
    <row r="37" spans="2:22">
      <c r="B37" s="9" t="s">
        <v>38</v>
      </c>
      <c r="C37" s="3" t="str">
        <f>[1]!HsDescription(conn,"Entity#"&amp;B37)</f>
        <v>#NEED_REFRESH</v>
      </c>
      <c r="D37" s="31" t="s">
        <v>71</v>
      </c>
      <c r="E37" s="45" t="e">
        <f>[1]!HsGetValue(conn,"Entity#"&amp;B37&amp;";Account#"&amp;$A$6&amp;大表科目本位幣調整前)+K37</f>
        <v>#VALUE!</v>
      </c>
      <c r="F37" s="7" t="str">
        <f>[1]!HsGetValue(conn,"Entity#"&amp;B37&amp;";Account#"&amp;$A$7&amp;大表科目本位幣調整前)</f>
        <v>#NEED_REFRESH</v>
      </c>
      <c r="G37" s="7" t="str">
        <f>[1]!HsGetValue(conn,"Entity#"&amp;B37&amp;";Account#"&amp;$A$8&amp;大表科目本位幣調整前)</f>
        <v>#NEED_REFRESH</v>
      </c>
      <c r="H37" s="7" t="str">
        <f>[1]!HsGetValue(conn,"Entity#"&amp;B37&amp;";Account#"&amp;$A$9&amp;大表科目本位幣調整前)</f>
        <v>#NEED_REFRESH</v>
      </c>
      <c r="I37" s="7" t="str">
        <f>[1]!HsGetValue(conn,"Entity#"&amp;B37&amp;";Account#"&amp;$A$10&amp;大表科目本位幣調整前)</f>
        <v>#NEED_REFRESH</v>
      </c>
      <c r="J37" s="7" t="str">
        <f>[1]!HsGetValue(conn,"Entity#"&amp;B37&amp;";Account#"&amp;$A$11&amp;大表科目本位幣調整前)</f>
        <v>#NEED_REFRESH</v>
      </c>
      <c r="K37" s="7" t="str">
        <f>[1]!HsGetValue(conn,"Entity#"&amp;B37&amp;";Account#"&amp;$A$12&amp;大表科目本位幣調整前)</f>
        <v>#NEED_REFRESH</v>
      </c>
      <c r="L37" s="10" t="e">
        <f t="shared" si="10"/>
        <v>#VALUE!</v>
      </c>
      <c r="M37" s="72">
        <f>IF($D37="USD",1,IF($D37="NTD",1/[1]!HsGetValue(conn,USD換算成NTD的期末匯率),[1]!HsGetValue(conn,"Custom1#"&amp;$D37&amp;換算成USD的期末匯率)))</f>
        <v>1</v>
      </c>
      <c r="N37" s="34" t="e">
        <f t="shared" si="11"/>
        <v>#VALUE!</v>
      </c>
      <c r="O37" s="34" t="e">
        <f t="shared" si="12"/>
        <v>#VALUE!</v>
      </c>
      <c r="P37" s="34" t="e">
        <f t="shared" si="13"/>
        <v>#VALUE!</v>
      </c>
      <c r="Q37" s="34" t="e">
        <f t="shared" si="14"/>
        <v>#VALUE!</v>
      </c>
      <c r="R37" s="34" t="e">
        <f t="shared" si="15"/>
        <v>#VALUE!</v>
      </c>
      <c r="S37" s="34" t="e">
        <f t="shared" si="16"/>
        <v>#VALUE!</v>
      </c>
      <c r="T37" s="10" t="e">
        <f t="shared" si="17"/>
        <v>#VALUE!</v>
      </c>
      <c r="U37" s="40" t="e">
        <f>[1]!HsGetValue(conn,"Entity#"&amp;B37&amp;";Account#"&amp;$A$3&amp;大表科目本位幣調整后)*M37</f>
        <v>#VALUE!</v>
      </c>
      <c r="V37" s="53">
        <f t="shared" si="18"/>
        <v>0</v>
      </c>
    </row>
    <row r="38" spans="2:22">
      <c r="B38" s="9" t="s">
        <v>39</v>
      </c>
      <c r="C38" s="3" t="str">
        <f>[1]!HsDescription(conn,"Entity#"&amp;B38)</f>
        <v>#NEED_REFRESH</v>
      </c>
      <c r="D38" s="31" t="s">
        <v>81</v>
      </c>
      <c r="E38" s="45" t="e">
        <f>[1]!HsGetValue(conn,"Entity#"&amp;B38&amp;";Account#"&amp;$A$6&amp;大表科目本位幣調整前)+K38</f>
        <v>#VALUE!</v>
      </c>
      <c r="F38" s="7" t="str">
        <f>[1]!HsGetValue(conn,"Entity#"&amp;B38&amp;";Account#"&amp;$A$7&amp;大表科目本位幣調整前)</f>
        <v>#NEED_REFRESH</v>
      </c>
      <c r="G38" s="7" t="str">
        <f>[1]!HsGetValue(conn,"Entity#"&amp;B38&amp;";Account#"&amp;$A$8&amp;大表科目本位幣調整前)</f>
        <v>#NEED_REFRESH</v>
      </c>
      <c r="H38" s="7" t="str">
        <f>[1]!HsGetValue(conn,"Entity#"&amp;B38&amp;";Account#"&amp;$A$9&amp;大表科目本位幣調整前)</f>
        <v>#NEED_REFRESH</v>
      </c>
      <c r="I38" s="7" t="str">
        <f>[1]!HsGetValue(conn,"Entity#"&amp;B38&amp;";Account#"&amp;$A$10&amp;大表科目本位幣調整前)</f>
        <v>#NEED_REFRESH</v>
      </c>
      <c r="J38" s="7" t="str">
        <f>[1]!HsGetValue(conn,"Entity#"&amp;B38&amp;";Account#"&amp;$A$11&amp;大表科目本位幣調整前)</f>
        <v>#NEED_REFRESH</v>
      </c>
      <c r="K38" s="7" t="str">
        <f>[1]!HsGetValue(conn,"Entity#"&amp;B38&amp;";Account#"&amp;$A$12&amp;大表科目本位幣調整前)</f>
        <v>#NEED_REFRESH</v>
      </c>
      <c r="L38" s="10" t="e">
        <f t="shared" si="10"/>
        <v>#VALUE!</v>
      </c>
      <c r="M38" s="72" t="str">
        <f>IF($D38="USD",1,IF($D38="NTD",1/[1]!HsGetValue(conn,USD換算成NTD的期末匯率),[1]!HsGetValue(conn,"Custom1#"&amp;$D38&amp;換算成USD的期末匯率)))</f>
        <v>#NEED_REFRESH</v>
      </c>
      <c r="N38" s="34" t="e">
        <f t="shared" si="11"/>
        <v>#VALUE!</v>
      </c>
      <c r="O38" s="34" t="e">
        <f t="shared" si="12"/>
        <v>#VALUE!</v>
      </c>
      <c r="P38" s="34" t="e">
        <f t="shared" si="13"/>
        <v>#VALUE!</v>
      </c>
      <c r="Q38" s="34" t="e">
        <f t="shared" si="14"/>
        <v>#VALUE!</v>
      </c>
      <c r="R38" s="34" t="e">
        <f t="shared" si="15"/>
        <v>#VALUE!</v>
      </c>
      <c r="S38" s="34" t="e">
        <f t="shared" si="16"/>
        <v>#VALUE!</v>
      </c>
      <c r="T38" s="10" t="e">
        <f t="shared" si="17"/>
        <v>#VALUE!</v>
      </c>
      <c r="U38" s="40" t="e">
        <f>[1]!HsGetValue(conn,"Entity#"&amp;B38&amp;";Account#"&amp;$A$3&amp;大表科目本位幣調整后)*M38</f>
        <v>#VALUE!</v>
      </c>
      <c r="V38" s="53">
        <f t="shared" si="18"/>
        <v>0</v>
      </c>
    </row>
    <row r="39" spans="2:22">
      <c r="B39" s="9" t="s">
        <v>40</v>
      </c>
      <c r="C39" s="3" t="str">
        <f>[1]!HsDescription(conn,"Entity#"&amp;B39)</f>
        <v>#NEED_REFRESH</v>
      </c>
      <c r="D39" s="31" t="s">
        <v>71</v>
      </c>
      <c r="E39" s="45" t="e">
        <f>[1]!HsGetValue(conn,"Entity#"&amp;B39&amp;";Account#"&amp;$A$6&amp;大表科目本位幣調整前)+K39</f>
        <v>#VALUE!</v>
      </c>
      <c r="F39" s="7" t="str">
        <f>[1]!HsGetValue(conn,"Entity#"&amp;B39&amp;";Account#"&amp;$A$7&amp;大表科目本位幣調整前)</f>
        <v>#NEED_REFRESH</v>
      </c>
      <c r="G39" s="7" t="str">
        <f>[1]!HsGetValue(conn,"Entity#"&amp;B39&amp;";Account#"&amp;$A$8&amp;大表科目本位幣調整前)</f>
        <v>#NEED_REFRESH</v>
      </c>
      <c r="H39" s="7" t="str">
        <f>[1]!HsGetValue(conn,"Entity#"&amp;B39&amp;";Account#"&amp;$A$9&amp;大表科目本位幣調整前)</f>
        <v>#NEED_REFRESH</v>
      </c>
      <c r="I39" s="7" t="str">
        <f>[1]!HsGetValue(conn,"Entity#"&amp;B39&amp;";Account#"&amp;$A$10&amp;大表科目本位幣調整前)</f>
        <v>#NEED_REFRESH</v>
      </c>
      <c r="J39" s="7" t="str">
        <f>[1]!HsGetValue(conn,"Entity#"&amp;B39&amp;";Account#"&amp;$A$11&amp;大表科目本位幣調整前)</f>
        <v>#NEED_REFRESH</v>
      </c>
      <c r="K39" s="7" t="str">
        <f>[1]!HsGetValue(conn,"Entity#"&amp;B39&amp;";Account#"&amp;$A$12&amp;大表科目本位幣調整前)</f>
        <v>#NEED_REFRESH</v>
      </c>
      <c r="L39" s="10" t="e">
        <f t="shared" si="10"/>
        <v>#VALUE!</v>
      </c>
      <c r="M39" s="72">
        <f>IF($D39="USD",1,IF($D39="NTD",1/[1]!HsGetValue(conn,USD換算成NTD的期末匯率),[1]!HsGetValue(conn,"Custom1#"&amp;$D39&amp;換算成USD的期末匯率)))</f>
        <v>1</v>
      </c>
      <c r="N39" s="34" t="e">
        <f t="shared" si="11"/>
        <v>#VALUE!</v>
      </c>
      <c r="O39" s="34" t="e">
        <f t="shared" si="12"/>
        <v>#VALUE!</v>
      </c>
      <c r="P39" s="34" t="e">
        <f t="shared" si="13"/>
        <v>#VALUE!</v>
      </c>
      <c r="Q39" s="34" t="e">
        <f t="shared" si="14"/>
        <v>#VALUE!</v>
      </c>
      <c r="R39" s="34" t="e">
        <f t="shared" si="15"/>
        <v>#VALUE!</v>
      </c>
      <c r="S39" s="34" t="e">
        <f t="shared" si="16"/>
        <v>#VALUE!</v>
      </c>
      <c r="T39" s="10" t="e">
        <f t="shared" si="17"/>
        <v>#VALUE!</v>
      </c>
      <c r="U39" s="40" t="e">
        <f>[1]!HsGetValue(conn,"Entity#"&amp;B39&amp;";Account#"&amp;$A$3&amp;大表科目本位幣調整后)*M39</f>
        <v>#VALUE!</v>
      </c>
      <c r="V39" s="53">
        <f t="shared" si="18"/>
        <v>0</v>
      </c>
    </row>
    <row r="40" spans="2:22">
      <c r="B40" s="9" t="s">
        <v>41</v>
      </c>
      <c r="C40" s="3" t="str">
        <f>[1]!HsDescription(conn,"Entity#"&amp;B40)</f>
        <v>#NEED_REFRESH</v>
      </c>
      <c r="D40" s="31" t="s">
        <v>71</v>
      </c>
      <c r="E40" s="45" t="e">
        <f>[1]!HsGetValue(conn,"Entity#"&amp;B40&amp;";Account#"&amp;$A$6&amp;大表科目本位幣調整前)+K40</f>
        <v>#VALUE!</v>
      </c>
      <c r="F40" s="7" t="str">
        <f>[1]!HsGetValue(conn,"Entity#"&amp;B40&amp;";Account#"&amp;$A$7&amp;大表科目本位幣調整前)</f>
        <v>#NEED_REFRESH</v>
      </c>
      <c r="G40" s="7" t="str">
        <f>[1]!HsGetValue(conn,"Entity#"&amp;B40&amp;";Account#"&amp;$A$8&amp;大表科目本位幣調整前)</f>
        <v>#NEED_REFRESH</v>
      </c>
      <c r="H40" s="7" t="str">
        <f>[1]!HsGetValue(conn,"Entity#"&amp;B40&amp;";Account#"&amp;$A$9&amp;大表科目本位幣調整前)</f>
        <v>#NEED_REFRESH</v>
      </c>
      <c r="I40" s="7" t="str">
        <f>[1]!HsGetValue(conn,"Entity#"&amp;B40&amp;";Account#"&amp;$A$10&amp;大表科目本位幣調整前)</f>
        <v>#NEED_REFRESH</v>
      </c>
      <c r="J40" s="7" t="str">
        <f>[1]!HsGetValue(conn,"Entity#"&amp;B40&amp;";Account#"&amp;$A$11&amp;大表科目本位幣調整前)</f>
        <v>#NEED_REFRESH</v>
      </c>
      <c r="K40" s="7" t="str">
        <f>[1]!HsGetValue(conn,"Entity#"&amp;B40&amp;";Account#"&amp;$A$12&amp;大表科目本位幣調整前)</f>
        <v>#NEED_REFRESH</v>
      </c>
      <c r="L40" s="10" t="e">
        <f t="shared" si="10"/>
        <v>#VALUE!</v>
      </c>
      <c r="M40" s="72">
        <f>IF($D40="USD",1,IF($D40="NTD",1/[1]!HsGetValue(conn,USD換算成NTD的期末匯率),[1]!HsGetValue(conn,"Custom1#"&amp;$D40&amp;換算成USD的期末匯率)))</f>
        <v>1</v>
      </c>
      <c r="N40" s="34" t="e">
        <f t="shared" si="11"/>
        <v>#VALUE!</v>
      </c>
      <c r="O40" s="34" t="e">
        <f t="shared" si="12"/>
        <v>#VALUE!</v>
      </c>
      <c r="P40" s="34" t="e">
        <f t="shared" si="13"/>
        <v>#VALUE!</v>
      </c>
      <c r="Q40" s="34" t="e">
        <f t="shared" si="14"/>
        <v>#VALUE!</v>
      </c>
      <c r="R40" s="34" t="e">
        <f t="shared" si="15"/>
        <v>#VALUE!</v>
      </c>
      <c r="S40" s="34" t="e">
        <f t="shared" si="16"/>
        <v>#VALUE!</v>
      </c>
      <c r="T40" s="10" t="e">
        <f t="shared" si="17"/>
        <v>#VALUE!</v>
      </c>
      <c r="U40" s="40" t="e">
        <f>[1]!HsGetValue(conn,"Entity#"&amp;B40&amp;";Account#"&amp;$A$3&amp;大表科目本位幣調整后)*M40</f>
        <v>#VALUE!</v>
      </c>
      <c r="V40" s="53">
        <f t="shared" si="18"/>
        <v>0</v>
      </c>
    </row>
    <row r="41" spans="2:22">
      <c r="B41" s="9" t="s">
        <v>42</v>
      </c>
      <c r="C41" s="3" t="str">
        <f>[1]!HsDescription(conn,"Entity#"&amp;B41)</f>
        <v>#NEED_REFRESH</v>
      </c>
      <c r="D41" s="31" t="s">
        <v>72</v>
      </c>
      <c r="E41" s="45" t="e">
        <f>[1]!HsGetValue(conn,"Entity#"&amp;B41&amp;";Account#"&amp;$A$6&amp;大表科目本位幣調整前)+K41</f>
        <v>#VALUE!</v>
      </c>
      <c r="F41" s="7" t="str">
        <f>[1]!HsGetValue(conn,"Entity#"&amp;B41&amp;";Account#"&amp;$A$7&amp;大表科目本位幣調整前)</f>
        <v>#NEED_REFRESH</v>
      </c>
      <c r="G41" s="7" t="str">
        <f>[1]!HsGetValue(conn,"Entity#"&amp;B41&amp;";Account#"&amp;$A$8&amp;大表科目本位幣調整前)</f>
        <v>#NEED_REFRESH</v>
      </c>
      <c r="H41" s="7" t="str">
        <f>[1]!HsGetValue(conn,"Entity#"&amp;B41&amp;";Account#"&amp;$A$9&amp;大表科目本位幣調整前)</f>
        <v>#NEED_REFRESH</v>
      </c>
      <c r="I41" s="7" t="str">
        <f>[1]!HsGetValue(conn,"Entity#"&amp;B41&amp;";Account#"&amp;$A$10&amp;大表科目本位幣調整前)</f>
        <v>#NEED_REFRESH</v>
      </c>
      <c r="J41" s="7" t="str">
        <f>[1]!HsGetValue(conn,"Entity#"&amp;B41&amp;";Account#"&amp;$A$11&amp;大表科目本位幣調整前)</f>
        <v>#NEED_REFRESH</v>
      </c>
      <c r="K41" s="7" t="str">
        <f>[1]!HsGetValue(conn,"Entity#"&amp;B41&amp;";Account#"&amp;$A$12&amp;大表科目本位幣調整前)</f>
        <v>#NEED_REFRESH</v>
      </c>
      <c r="L41" s="10" t="e">
        <f t="shared" si="10"/>
        <v>#VALUE!</v>
      </c>
      <c r="M41" s="72" t="e">
        <f>IF($D41="USD",1,IF($D41="NTD",1/[1]!HsGetValue(conn,USD換算成NTD的期末匯率),[1]!HsGetValue(conn,"Custom1#"&amp;$D41&amp;換算成USD的期末匯率)))</f>
        <v>#VALUE!</v>
      </c>
      <c r="N41" s="34" t="e">
        <f t="shared" si="11"/>
        <v>#VALUE!</v>
      </c>
      <c r="O41" s="34" t="e">
        <f t="shared" si="12"/>
        <v>#VALUE!</v>
      </c>
      <c r="P41" s="34" t="e">
        <f t="shared" si="13"/>
        <v>#VALUE!</v>
      </c>
      <c r="Q41" s="34" t="e">
        <f t="shared" si="14"/>
        <v>#VALUE!</v>
      </c>
      <c r="R41" s="34" t="e">
        <f t="shared" si="15"/>
        <v>#VALUE!</v>
      </c>
      <c r="S41" s="34" t="e">
        <f t="shared" si="16"/>
        <v>#VALUE!</v>
      </c>
      <c r="T41" s="10" t="e">
        <f t="shared" si="17"/>
        <v>#VALUE!</v>
      </c>
      <c r="U41" s="40" t="e">
        <f>[1]!HsGetValue(conn,"Entity#"&amp;B41&amp;";Account#"&amp;$A$3&amp;大表科目本位幣調整后)*M41</f>
        <v>#VALUE!</v>
      </c>
      <c r="V41" s="53">
        <f t="shared" si="18"/>
        <v>0</v>
      </c>
    </row>
    <row r="42" spans="2:22">
      <c r="B42" s="9" t="s">
        <v>43</v>
      </c>
      <c r="C42" s="3" t="str">
        <f>[1]!HsDescription(conn,"Entity#"&amp;B42)</f>
        <v>#NEED_REFRESH</v>
      </c>
      <c r="D42" s="31" t="s">
        <v>71</v>
      </c>
      <c r="E42" s="45" t="e">
        <f>[1]!HsGetValue(conn,"Entity#"&amp;B42&amp;";Account#"&amp;$A$6&amp;大表科目本位幣調整前)+K42</f>
        <v>#VALUE!</v>
      </c>
      <c r="F42" s="7" t="str">
        <f>[1]!HsGetValue(conn,"Entity#"&amp;B42&amp;";Account#"&amp;$A$7&amp;大表科目本位幣調整前)</f>
        <v>#NEED_REFRESH</v>
      </c>
      <c r="G42" s="7" t="str">
        <f>[1]!HsGetValue(conn,"Entity#"&amp;B42&amp;";Account#"&amp;$A$8&amp;大表科目本位幣調整前)</f>
        <v>#NEED_REFRESH</v>
      </c>
      <c r="H42" s="7" t="str">
        <f>[1]!HsGetValue(conn,"Entity#"&amp;B42&amp;";Account#"&amp;$A$9&amp;大表科目本位幣調整前)</f>
        <v>#NEED_REFRESH</v>
      </c>
      <c r="I42" s="7" t="str">
        <f>[1]!HsGetValue(conn,"Entity#"&amp;B42&amp;";Account#"&amp;$A$10&amp;大表科目本位幣調整前)</f>
        <v>#NEED_REFRESH</v>
      </c>
      <c r="J42" s="7" t="str">
        <f>[1]!HsGetValue(conn,"Entity#"&amp;B42&amp;";Account#"&amp;$A$11&amp;大表科目本位幣調整前)</f>
        <v>#NEED_REFRESH</v>
      </c>
      <c r="K42" s="7" t="str">
        <f>[1]!HsGetValue(conn,"Entity#"&amp;B42&amp;";Account#"&amp;$A$12&amp;大表科目本位幣調整前)</f>
        <v>#NEED_REFRESH</v>
      </c>
      <c r="L42" s="10" t="e">
        <f t="shared" si="10"/>
        <v>#VALUE!</v>
      </c>
      <c r="M42" s="72">
        <f>IF($D42="USD",1,IF($D42="NTD",1/[1]!HsGetValue(conn,USD換算成NTD的期末匯率),[1]!HsGetValue(conn,"Custom1#"&amp;$D42&amp;換算成USD的期末匯率)))</f>
        <v>1</v>
      </c>
      <c r="N42" s="34" t="e">
        <f t="shared" si="11"/>
        <v>#VALUE!</v>
      </c>
      <c r="O42" s="34" t="e">
        <f t="shared" si="12"/>
        <v>#VALUE!</v>
      </c>
      <c r="P42" s="34" t="e">
        <f t="shared" si="13"/>
        <v>#VALUE!</v>
      </c>
      <c r="Q42" s="34" t="e">
        <f t="shared" si="14"/>
        <v>#VALUE!</v>
      </c>
      <c r="R42" s="34" t="e">
        <f t="shared" si="15"/>
        <v>#VALUE!</v>
      </c>
      <c r="S42" s="34" t="e">
        <f t="shared" si="16"/>
        <v>#VALUE!</v>
      </c>
      <c r="T42" s="10" t="e">
        <f t="shared" si="17"/>
        <v>#VALUE!</v>
      </c>
      <c r="U42" s="40" t="e">
        <f>[1]!HsGetValue(conn,"Entity#"&amp;B42&amp;";Account#"&amp;$A$3&amp;大表科目本位幣調整后)*M42</f>
        <v>#VALUE!</v>
      </c>
      <c r="V42" s="53">
        <f t="shared" si="18"/>
        <v>0</v>
      </c>
    </row>
    <row r="43" spans="2:22">
      <c r="B43" s="9" t="s">
        <v>44</v>
      </c>
      <c r="C43" s="3" t="str">
        <f>[1]!HsDescription(conn,"Entity#"&amp;B43)</f>
        <v>#NEED_REFRESH</v>
      </c>
      <c r="D43" s="31" t="s">
        <v>71</v>
      </c>
      <c r="E43" s="45" t="e">
        <f>[1]!HsGetValue(conn,"Entity#"&amp;B43&amp;";Account#"&amp;$A$6&amp;大表科目本位幣調整前)+K43</f>
        <v>#VALUE!</v>
      </c>
      <c r="F43" s="7" t="str">
        <f>[1]!HsGetValue(conn,"Entity#"&amp;B43&amp;";Account#"&amp;$A$7&amp;大表科目本位幣調整前)</f>
        <v>#NEED_REFRESH</v>
      </c>
      <c r="G43" s="7" t="str">
        <f>[1]!HsGetValue(conn,"Entity#"&amp;B43&amp;";Account#"&amp;$A$8&amp;大表科目本位幣調整前)</f>
        <v>#NEED_REFRESH</v>
      </c>
      <c r="H43" s="7" t="str">
        <f>[1]!HsGetValue(conn,"Entity#"&amp;B43&amp;";Account#"&amp;$A$9&amp;大表科目本位幣調整前)</f>
        <v>#NEED_REFRESH</v>
      </c>
      <c r="I43" s="7" t="str">
        <f>[1]!HsGetValue(conn,"Entity#"&amp;B43&amp;";Account#"&amp;$A$10&amp;大表科目本位幣調整前)</f>
        <v>#NEED_REFRESH</v>
      </c>
      <c r="J43" s="7" t="str">
        <f>[1]!HsGetValue(conn,"Entity#"&amp;B43&amp;";Account#"&amp;$A$11&amp;大表科目本位幣調整前)</f>
        <v>#NEED_REFRESH</v>
      </c>
      <c r="K43" s="7" t="str">
        <f>[1]!HsGetValue(conn,"Entity#"&amp;B43&amp;";Account#"&amp;$A$12&amp;大表科目本位幣調整前)</f>
        <v>#NEED_REFRESH</v>
      </c>
      <c r="L43" s="10" t="e">
        <f t="shared" si="10"/>
        <v>#VALUE!</v>
      </c>
      <c r="M43" s="72">
        <f>IF($D43="USD",1,IF($D43="NTD",1/[1]!HsGetValue(conn,USD換算成NTD的期末匯率),[1]!HsGetValue(conn,"Custom1#"&amp;$D43&amp;換算成USD的期末匯率)))</f>
        <v>1</v>
      </c>
      <c r="N43" s="34" t="e">
        <f t="shared" si="11"/>
        <v>#VALUE!</v>
      </c>
      <c r="O43" s="34" t="e">
        <f t="shared" si="12"/>
        <v>#VALUE!</v>
      </c>
      <c r="P43" s="34" t="e">
        <f t="shared" si="13"/>
        <v>#VALUE!</v>
      </c>
      <c r="Q43" s="34" t="e">
        <f t="shared" si="14"/>
        <v>#VALUE!</v>
      </c>
      <c r="R43" s="34" t="e">
        <f t="shared" si="15"/>
        <v>#VALUE!</v>
      </c>
      <c r="S43" s="34" t="e">
        <f t="shared" si="16"/>
        <v>#VALUE!</v>
      </c>
      <c r="T43" s="10" t="e">
        <f t="shared" si="17"/>
        <v>#VALUE!</v>
      </c>
      <c r="U43" s="40" t="e">
        <f>[1]!HsGetValue(conn,"Entity#"&amp;B43&amp;";Account#"&amp;$A$3&amp;大表科目本位幣調整后)*M43</f>
        <v>#VALUE!</v>
      </c>
      <c r="V43" s="53">
        <f t="shared" si="18"/>
        <v>0</v>
      </c>
    </row>
    <row r="44" spans="2:22">
      <c r="B44" s="11" t="s">
        <v>45</v>
      </c>
      <c r="C44" s="8" t="str">
        <f>[1]!HsDescription(conn,"Entity#"&amp;B44)</f>
        <v>#NEED_REFRESH</v>
      </c>
      <c r="D44" s="31" t="s">
        <v>71</v>
      </c>
      <c r="E44" s="45" t="e">
        <f>[1]!HsGetValue(conn,"Entity#"&amp;B44&amp;";Account#"&amp;$A$6&amp;大表科目本位幣調整前)+K44</f>
        <v>#VALUE!</v>
      </c>
      <c r="F44" s="7" t="str">
        <f>[1]!HsGetValue(conn,"Entity#"&amp;B44&amp;";Account#"&amp;$A$7&amp;大表科目本位幣調整前)</f>
        <v>#NEED_REFRESH</v>
      </c>
      <c r="G44" s="7" t="str">
        <f>[1]!HsGetValue(conn,"Entity#"&amp;B44&amp;";Account#"&amp;$A$8&amp;大表科目本位幣調整前)</f>
        <v>#NEED_REFRESH</v>
      </c>
      <c r="H44" s="7" t="str">
        <f>[1]!HsGetValue(conn,"Entity#"&amp;B44&amp;";Account#"&amp;$A$9&amp;大表科目本位幣調整前)</f>
        <v>#NEED_REFRESH</v>
      </c>
      <c r="I44" s="7" t="str">
        <f>[1]!HsGetValue(conn,"Entity#"&amp;B44&amp;";Account#"&amp;$A$10&amp;大表科目本位幣調整前)</f>
        <v>#NEED_REFRESH</v>
      </c>
      <c r="J44" s="7" t="str">
        <f>[1]!HsGetValue(conn,"Entity#"&amp;B44&amp;";Account#"&amp;$A$11&amp;大表科目本位幣調整前)</f>
        <v>#NEED_REFRESH</v>
      </c>
      <c r="K44" s="7" t="str">
        <f>[1]!HsGetValue(conn,"Entity#"&amp;B44&amp;";Account#"&amp;$A$12&amp;大表科目本位幣調整前)</f>
        <v>#NEED_REFRESH</v>
      </c>
      <c r="L44" s="12" t="e">
        <f t="shared" si="10"/>
        <v>#VALUE!</v>
      </c>
      <c r="M44" s="72">
        <f>IF($D44="USD",1,IF($D44="NTD",1/[1]!HsGetValue(conn,USD換算成NTD的期末匯率),[1]!HsGetValue(conn,"Custom1#"&amp;$D44&amp;換算成USD的期末匯率)))</f>
        <v>1</v>
      </c>
      <c r="N44" s="34" t="e">
        <f t="shared" si="11"/>
        <v>#VALUE!</v>
      </c>
      <c r="O44" s="34" t="e">
        <f t="shared" si="12"/>
        <v>#VALUE!</v>
      </c>
      <c r="P44" s="34" t="e">
        <f t="shared" si="13"/>
        <v>#VALUE!</v>
      </c>
      <c r="Q44" s="34" t="e">
        <f t="shared" si="14"/>
        <v>#VALUE!</v>
      </c>
      <c r="R44" s="34" t="e">
        <f t="shared" si="15"/>
        <v>#VALUE!</v>
      </c>
      <c r="S44" s="34" t="e">
        <f t="shared" si="16"/>
        <v>#VALUE!</v>
      </c>
      <c r="T44" s="12" t="e">
        <f t="shared" si="17"/>
        <v>#VALUE!</v>
      </c>
      <c r="U44" s="40" t="e">
        <f>[1]!HsGetValue(conn,"Entity#"&amp;B44&amp;";Account#"&amp;$A$3&amp;大表科目本位幣調整后)*M44</f>
        <v>#VALUE!</v>
      </c>
      <c r="V44" s="53">
        <f t="shared" si="18"/>
        <v>0</v>
      </c>
    </row>
    <row r="45" spans="2:22">
      <c r="B45" s="69" t="s">
        <v>110</v>
      </c>
      <c r="C45" s="8" t="str">
        <f>[1]!HsDescription(conn,"Entity#"&amp;B45)</f>
        <v>#NEED_REFRESH</v>
      </c>
      <c r="D45" s="31" t="s">
        <v>71</v>
      </c>
      <c r="E45" s="45" t="e">
        <f>[1]!HsGetValue(conn,"Entity#"&amp;B45&amp;";Account#"&amp;$A$6&amp;大表科目本位幣調整前)+K45</f>
        <v>#VALUE!</v>
      </c>
      <c r="F45" s="7" t="str">
        <f>[1]!HsGetValue(conn,"Entity#"&amp;B45&amp;";Account#"&amp;$A$7&amp;大表科目本位幣調整前)</f>
        <v>#NEED_REFRESH</v>
      </c>
      <c r="G45" s="7" t="str">
        <f>[1]!HsGetValue(conn,"Entity#"&amp;B45&amp;";Account#"&amp;$A$8&amp;大表科目本位幣調整前)</f>
        <v>#NEED_REFRESH</v>
      </c>
      <c r="H45" s="7" t="str">
        <f>[1]!HsGetValue(conn,"Entity#"&amp;B45&amp;";Account#"&amp;$A$9&amp;大表科目本位幣調整前)</f>
        <v>#NEED_REFRESH</v>
      </c>
      <c r="I45" s="7" t="str">
        <f>[1]!HsGetValue(conn,"Entity#"&amp;B45&amp;";Account#"&amp;$A$10&amp;大表科目本位幣調整前)</f>
        <v>#NEED_REFRESH</v>
      </c>
      <c r="J45" s="7" t="str">
        <f>[1]!HsGetValue(conn,"Entity#"&amp;B45&amp;";Account#"&amp;$A$11&amp;大表科目本位幣調整前)</f>
        <v>#NEED_REFRESH</v>
      </c>
      <c r="K45" s="7" t="str">
        <f>[1]!HsGetValue(conn,"Entity#"&amp;B45&amp;";Account#"&amp;$A$12&amp;大表科目本位幣調整前)</f>
        <v>#NEED_REFRESH</v>
      </c>
      <c r="L45" s="12" t="e">
        <f t="shared" ref="L45" si="19">SUM(E45:J45)</f>
        <v>#VALUE!</v>
      </c>
      <c r="M45" s="72">
        <f>IF($D45="USD",1,IF($D45="NTD",1/[1]!HsGetValue(conn,USD換算成NTD的期末匯率),[1]!HsGetValue(conn,"Custom1#"&amp;$D45&amp;換算成USD的期末匯率)))</f>
        <v>1</v>
      </c>
      <c r="N45" s="34" t="e">
        <f t="shared" ref="N45" si="20">E45*$M45</f>
        <v>#VALUE!</v>
      </c>
      <c r="O45" s="34" t="e">
        <f t="shared" ref="O45" si="21">F45*$M45</f>
        <v>#VALUE!</v>
      </c>
      <c r="P45" s="34" t="e">
        <f t="shared" ref="P45" si="22">G45*$M45</f>
        <v>#VALUE!</v>
      </c>
      <c r="Q45" s="34" t="e">
        <f t="shared" ref="Q45" si="23">H45*$M45</f>
        <v>#VALUE!</v>
      </c>
      <c r="R45" s="34" t="e">
        <f t="shared" ref="R45" si="24">I45*$M45</f>
        <v>#VALUE!</v>
      </c>
      <c r="S45" s="34" t="e">
        <f t="shared" ref="S45" si="25">J45*$M45</f>
        <v>#VALUE!</v>
      </c>
      <c r="T45" s="12" t="e">
        <f t="shared" ref="T45:T46" si="26">SUM(N45:S45)</f>
        <v>#VALUE!</v>
      </c>
      <c r="U45" s="40" t="e">
        <f>[1]!HsGetValue(conn,"Entity#"&amp;B45&amp;";Account#"&amp;$A$3&amp;大表科目本位幣調整后)*M45</f>
        <v>#VALUE!</v>
      </c>
      <c r="V45" s="53">
        <f t="shared" ref="V45" si="27">IFERROR(T45-U45,0)</f>
        <v>0</v>
      </c>
    </row>
    <row r="46" spans="2:22" ht="14.4" customHeight="1">
      <c r="B46" s="96" t="s">
        <v>60</v>
      </c>
      <c r="C46" s="97"/>
      <c r="D46" s="43"/>
      <c r="E46" s="46" t="e">
        <f>SUM(E4:E45)</f>
        <v>#VALUE!</v>
      </c>
      <c r="F46" s="46">
        <f t="shared" ref="F46:L46" si="28">SUM(F4:F45)</f>
        <v>0</v>
      </c>
      <c r="G46" s="46">
        <f t="shared" si="28"/>
        <v>0</v>
      </c>
      <c r="H46" s="46">
        <f t="shared" si="28"/>
        <v>0</v>
      </c>
      <c r="I46" s="46">
        <f t="shared" si="28"/>
        <v>0</v>
      </c>
      <c r="J46" s="46">
        <f t="shared" si="28"/>
        <v>0</v>
      </c>
      <c r="K46" s="46">
        <f t="shared" si="28"/>
        <v>0</v>
      </c>
      <c r="L46" s="46" t="e">
        <f t="shared" si="28"/>
        <v>#VALUE!</v>
      </c>
      <c r="M46" s="73"/>
      <c r="N46" s="35" t="e">
        <f>SUM(N3:N45)</f>
        <v>#VALUE!</v>
      </c>
      <c r="O46" s="35" t="e">
        <f t="shared" ref="O46:S46" si="29">SUM(O3:O45)</f>
        <v>#VALUE!</v>
      </c>
      <c r="P46" s="35" t="e">
        <f t="shared" si="29"/>
        <v>#VALUE!</v>
      </c>
      <c r="Q46" s="35" t="e">
        <f t="shared" si="29"/>
        <v>#VALUE!</v>
      </c>
      <c r="R46" s="35" t="e">
        <f t="shared" si="29"/>
        <v>#VALUE!</v>
      </c>
      <c r="S46" s="35" t="e">
        <f t="shared" si="29"/>
        <v>#VALUE!</v>
      </c>
      <c r="T46" s="12" t="e">
        <f t="shared" si="26"/>
        <v>#VALUE!</v>
      </c>
      <c r="U46" s="40" t="e">
        <f>SUM(U3:U45)</f>
        <v>#VALUE!</v>
      </c>
      <c r="V46" s="53">
        <f t="shared" si="18"/>
        <v>0</v>
      </c>
    </row>
    <row r="47" spans="2:22">
      <c r="B47" s="96" t="s">
        <v>62</v>
      </c>
      <c r="C47" s="97"/>
      <c r="D47" s="43"/>
      <c r="E47" s="77"/>
      <c r="F47" s="78">
        <f>SUM(Cash_支存明細表!$N:$N)</f>
        <v>0</v>
      </c>
      <c r="G47" s="78">
        <f>SUM(Cash_活存明細表!$M:$M)</f>
        <v>0</v>
      </c>
      <c r="H47" s="79">
        <f>SUM(Cash_三個月內定存明細表!$R:$R)</f>
        <v>0</v>
      </c>
      <c r="I47" s="21"/>
      <c r="J47" s="21"/>
      <c r="K47" s="57"/>
      <c r="L47" s="22"/>
      <c r="M47" s="73"/>
      <c r="N47" s="80"/>
      <c r="O47" s="78">
        <f>SUM(Cash_支存明細表!$P:$P)</f>
        <v>0</v>
      </c>
      <c r="P47" s="78">
        <f>SUM(Cash_活存明細表!$O:$O)</f>
        <v>0</v>
      </c>
      <c r="Q47" s="78">
        <f>SUM(Cash_三個月內定存明細表!$T:$T)</f>
        <v>0</v>
      </c>
      <c r="R47" s="21"/>
      <c r="S47" s="21"/>
      <c r="T47" s="22"/>
      <c r="U47" s="38"/>
      <c r="V47" s="54"/>
    </row>
    <row r="48" spans="2:22" ht="13.8" thickBot="1">
      <c r="B48" s="98" t="s">
        <v>61</v>
      </c>
      <c r="C48" s="99"/>
      <c r="D48" s="44"/>
      <c r="E48" s="47"/>
      <c r="F48" s="23">
        <f>F46-F47</f>
        <v>0</v>
      </c>
      <c r="G48" s="23">
        <f>G46-G47</f>
        <v>0</v>
      </c>
      <c r="H48" s="23">
        <f>H46-H47</f>
        <v>0</v>
      </c>
      <c r="I48" s="23"/>
      <c r="J48" s="23"/>
      <c r="K48" s="58"/>
      <c r="L48" s="24"/>
      <c r="M48" s="74"/>
      <c r="N48" s="36"/>
      <c r="O48" s="23" t="e">
        <f>O46-O47</f>
        <v>#VALUE!</v>
      </c>
      <c r="P48" s="23" t="e">
        <f>P46-P47</f>
        <v>#VALUE!</v>
      </c>
      <c r="Q48" s="23" t="e">
        <f>Q46-Q47</f>
        <v>#VALUE!</v>
      </c>
      <c r="R48" s="23"/>
      <c r="S48" s="23"/>
      <c r="T48" s="24"/>
      <c r="U48" s="39"/>
      <c r="V48" s="55"/>
    </row>
    <row r="50" spans="8:8">
      <c r="H50" s="48"/>
    </row>
  </sheetData>
  <sheetProtection formatColumns="0" formatRows="0" sort="0" autoFilter="0" pivotTables="0"/>
  <mergeCells count="5">
    <mergeCell ref="N1:T1"/>
    <mergeCell ref="B46:C46"/>
    <mergeCell ref="B47:C47"/>
    <mergeCell ref="B48:C48"/>
    <mergeCell ref="E1:L1"/>
  </mergeCells>
  <pageMargins left="0.75" right="0.75" top="1" bottom="1" header="0.5" footer="0.5"/>
  <headerFooter alignWithMargins="0"/>
  <customProperties>
    <customPr name="FUNCTIONCACHE" r:id="rId1"/>
    <customPr name="SheetOptions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2"/>
  <sheetViews>
    <sheetView zoomScaleNormal="100" workbookViewId="0">
      <pane ySplit="1" topLeftCell="A2" activePane="bottomLeft" state="frozen"/>
      <selection activeCell="M25" sqref="M25"/>
      <selection pane="bottomLeft" activeCell="M6" sqref="M6"/>
    </sheetView>
  </sheetViews>
  <sheetFormatPr defaultRowHeight="13.2"/>
  <cols>
    <col min="1" max="2" width="5" style="1" bestFit="1" customWidth="1"/>
    <col min="3" max="6" width="9" style="20" bestFit="1" customWidth="1"/>
    <col min="7" max="7" width="9" style="19" bestFit="1" customWidth="1"/>
    <col min="8" max="8" width="9" style="1" bestFit="1" customWidth="1"/>
    <col min="9" max="12" width="9" bestFit="1" customWidth="1"/>
    <col min="13" max="13" width="23.33203125" bestFit="1" customWidth="1"/>
    <col min="14" max="14" width="9.88671875" style="20" bestFit="1" customWidth="1"/>
    <col min="15" max="15" width="14.77734375" style="20" bestFit="1" customWidth="1"/>
    <col min="16" max="16" width="9.88671875" style="20" bestFit="1" customWidth="1"/>
    <col min="17" max="16384" width="8.88671875" style="1"/>
  </cols>
  <sheetData>
    <row r="1" spans="1:16">
      <c r="A1" s="14" t="s">
        <v>1</v>
      </c>
      <c r="B1" s="14" t="s">
        <v>2</v>
      </c>
      <c r="C1" s="14" t="s">
        <v>100</v>
      </c>
      <c r="D1" s="14" t="s">
        <v>101</v>
      </c>
      <c r="E1" s="14" t="s">
        <v>102</v>
      </c>
      <c r="F1" s="14" t="s">
        <v>64</v>
      </c>
      <c r="G1" s="14" t="s">
        <v>103</v>
      </c>
      <c r="H1" s="14" t="s">
        <v>104</v>
      </c>
      <c r="I1" s="14" t="s">
        <v>84</v>
      </c>
      <c r="J1" s="14" t="s">
        <v>65</v>
      </c>
      <c r="K1" s="14" t="s">
        <v>117</v>
      </c>
      <c r="L1" s="14" t="s">
        <v>85</v>
      </c>
      <c r="M1" s="14" t="s">
        <v>118</v>
      </c>
      <c r="N1" s="18" t="s">
        <v>66</v>
      </c>
      <c r="O1" s="18" t="s">
        <v>63</v>
      </c>
      <c r="P1" s="18" t="s">
        <v>83</v>
      </c>
    </row>
    <row r="2" spans="1:16" s="66" customFormat="1">
      <c r="C2" s="67"/>
      <c r="D2" s="67"/>
      <c r="E2" s="67"/>
      <c r="F2" s="67"/>
      <c r="G2" s="68"/>
      <c r="I2"/>
      <c r="J2"/>
      <c r="K2"/>
      <c r="L2"/>
      <c r="M2"/>
      <c r="N2" s="67"/>
      <c r="O2" s="67"/>
      <c r="P2" s="67"/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2"/>
  <sheetViews>
    <sheetView workbookViewId="0">
      <pane ySplit="1" topLeftCell="A2" activePane="bottomLeft" state="frozen"/>
      <selection activeCell="M25" sqref="M25"/>
      <selection pane="bottomLeft" activeCell="M28" sqref="M28"/>
    </sheetView>
  </sheetViews>
  <sheetFormatPr defaultRowHeight="13.2"/>
  <cols>
    <col min="1" max="2" width="5" style="1" bestFit="1" customWidth="1"/>
    <col min="3" max="3" width="9" style="1" bestFit="1" customWidth="1"/>
    <col min="4" max="7" width="9" style="20" bestFit="1" customWidth="1"/>
    <col min="8" max="8" width="9" style="19" bestFit="1" customWidth="1"/>
    <col min="9" max="12" width="9" bestFit="1" customWidth="1"/>
    <col min="13" max="13" width="23.33203125" bestFit="1" customWidth="1"/>
    <col min="14" max="14" width="9.88671875" style="20" bestFit="1" customWidth="1"/>
    <col min="15" max="15" width="14.77734375" style="20" bestFit="1" customWidth="1"/>
    <col min="16" max="16" width="9.88671875" style="20" bestFit="1" customWidth="1"/>
    <col min="17" max="16384" width="8.88671875" style="1"/>
  </cols>
  <sheetData>
    <row r="1" spans="1:16">
      <c r="A1" s="14" t="s">
        <v>1</v>
      </c>
      <c r="B1" s="14" t="s">
        <v>2</v>
      </c>
      <c r="C1" s="14" t="s">
        <v>100</v>
      </c>
      <c r="D1" s="14" t="s">
        <v>101</v>
      </c>
      <c r="E1" s="14" t="s">
        <v>102</v>
      </c>
      <c r="F1" s="14" t="s">
        <v>64</v>
      </c>
      <c r="G1" s="14" t="s">
        <v>103</v>
      </c>
      <c r="H1" s="14" t="s">
        <v>104</v>
      </c>
      <c r="I1" s="14" t="s">
        <v>84</v>
      </c>
      <c r="J1" s="14" t="s">
        <v>65</v>
      </c>
      <c r="K1" s="14" t="s">
        <v>117</v>
      </c>
      <c r="L1" s="14" t="s">
        <v>85</v>
      </c>
      <c r="M1" s="14" t="s">
        <v>118</v>
      </c>
      <c r="N1" s="18" t="s">
        <v>66</v>
      </c>
      <c r="O1" s="18" t="s">
        <v>63</v>
      </c>
      <c r="P1" s="18" t="s">
        <v>83</v>
      </c>
    </row>
    <row r="2" spans="1:16" s="66" customFormat="1">
      <c r="D2" s="67"/>
      <c r="E2" s="67"/>
      <c r="F2" s="67"/>
      <c r="G2" s="67"/>
      <c r="H2" s="68"/>
      <c r="I2"/>
      <c r="J2"/>
      <c r="K2"/>
      <c r="L2"/>
      <c r="M2"/>
      <c r="N2" s="67"/>
      <c r="O2" s="67"/>
      <c r="P2" s="67"/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"/>
  <sheetViews>
    <sheetView workbookViewId="0">
      <pane ySplit="1" topLeftCell="A2" activePane="bottomLeft" state="frozen"/>
      <selection pane="bottomLeft" activeCell="M27" sqref="M27"/>
    </sheetView>
  </sheetViews>
  <sheetFormatPr defaultRowHeight="13.2"/>
  <cols>
    <col min="1" max="2" width="5" bestFit="1" customWidth="1"/>
    <col min="3" max="4" width="9" bestFit="1" customWidth="1"/>
    <col min="5" max="6" width="13.109375" bestFit="1" customWidth="1"/>
    <col min="7" max="10" width="9" bestFit="1" customWidth="1"/>
    <col min="11" max="11" width="23.33203125" bestFit="1" customWidth="1"/>
    <col min="13" max="13" width="14.77734375" bestFit="1" customWidth="1"/>
  </cols>
  <sheetData>
    <row r="1" spans="1:13">
      <c r="A1" s="14" t="s">
        <v>1</v>
      </c>
      <c r="B1" s="14" t="s">
        <v>2</v>
      </c>
      <c r="C1" s="14" t="s">
        <v>100</v>
      </c>
      <c r="D1" s="14" t="s">
        <v>101</v>
      </c>
      <c r="E1" s="14" t="s">
        <v>115</v>
      </c>
      <c r="F1" s="14" t="s">
        <v>116</v>
      </c>
      <c r="G1" s="14" t="s">
        <v>84</v>
      </c>
      <c r="H1" s="14" t="s">
        <v>65</v>
      </c>
      <c r="I1" s="14" t="s">
        <v>117</v>
      </c>
      <c r="J1" s="14" t="s">
        <v>85</v>
      </c>
      <c r="K1" s="14" t="s">
        <v>118</v>
      </c>
      <c r="L1" s="18" t="s">
        <v>66</v>
      </c>
      <c r="M1" s="18" t="s">
        <v>63</v>
      </c>
    </row>
  </sheetData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2"/>
  <sheetViews>
    <sheetView zoomScaleNormal="100" workbookViewId="0">
      <pane ySplit="1" topLeftCell="A2" activePane="bottomLeft" state="frozen"/>
      <selection activeCell="M25" sqref="M25"/>
      <selection pane="bottomLeft" activeCell="S17" sqref="S17"/>
    </sheetView>
  </sheetViews>
  <sheetFormatPr defaultRowHeight="13.2"/>
  <cols>
    <col min="1" max="2" width="5" style="1" bestFit="1" customWidth="1"/>
    <col min="3" max="8" width="9" style="1" bestFit="1" customWidth="1"/>
    <col min="9" max="9" width="9" style="19" bestFit="1" customWidth="1"/>
    <col min="10" max="12" width="7" style="1" bestFit="1" customWidth="1"/>
    <col min="13" max="16" width="9" bestFit="1" customWidth="1"/>
    <col min="17" max="17" width="23.33203125" bestFit="1" customWidth="1"/>
    <col min="18" max="18" width="9.88671875" style="5" bestFit="1" customWidth="1"/>
    <col min="19" max="19" width="14.77734375" style="5" bestFit="1" customWidth="1"/>
    <col min="20" max="20" width="9" style="5" bestFit="1" customWidth="1"/>
    <col min="21" max="16384" width="8.88671875" style="1"/>
  </cols>
  <sheetData>
    <row r="1" spans="1:20">
      <c r="A1" s="14" t="s">
        <v>1</v>
      </c>
      <c r="B1" s="14" t="s">
        <v>2</v>
      </c>
      <c r="C1" s="14" t="s">
        <v>100</v>
      </c>
      <c r="D1" s="14" t="s">
        <v>101</v>
      </c>
      <c r="E1" s="14" t="s">
        <v>102</v>
      </c>
      <c r="F1" s="14" t="s">
        <v>64</v>
      </c>
      <c r="G1" s="14" t="s">
        <v>67</v>
      </c>
      <c r="H1" s="14" t="s">
        <v>103</v>
      </c>
      <c r="I1" s="14" t="s">
        <v>104</v>
      </c>
      <c r="J1" s="14" t="s">
        <v>68</v>
      </c>
      <c r="K1" s="14" t="s">
        <v>69</v>
      </c>
      <c r="L1" s="14" t="s">
        <v>70</v>
      </c>
      <c r="M1" s="14" t="s">
        <v>84</v>
      </c>
      <c r="N1" s="14" t="s">
        <v>65</v>
      </c>
      <c r="O1" s="14" t="s">
        <v>117</v>
      </c>
      <c r="P1" s="14" t="s">
        <v>85</v>
      </c>
      <c r="Q1" s="14" t="s">
        <v>118</v>
      </c>
      <c r="R1" s="25" t="s">
        <v>105</v>
      </c>
      <c r="S1" s="25" t="s">
        <v>63</v>
      </c>
      <c r="T1" s="14" t="s">
        <v>83</v>
      </c>
    </row>
    <row r="2" spans="1:20">
      <c r="S2" s="67"/>
      <c r="T2" s="67"/>
    </row>
  </sheetData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2"/>
  <sheetViews>
    <sheetView zoomScaleNormal="100" workbookViewId="0">
      <pane ySplit="1" topLeftCell="A2" activePane="bottomLeft" state="frozen"/>
      <selection activeCell="M25" sqref="M25"/>
      <selection pane="bottomLeft" activeCell="O24" sqref="O24"/>
    </sheetView>
  </sheetViews>
  <sheetFormatPr defaultRowHeight="13.2"/>
  <cols>
    <col min="1" max="2" width="5" style="1" bestFit="1" customWidth="1"/>
    <col min="3" max="6" width="9" style="1" bestFit="1" customWidth="1"/>
    <col min="7" max="7" width="36.21875" style="1" bestFit="1" customWidth="1"/>
    <col min="8" max="9" width="9" style="1" bestFit="1" customWidth="1"/>
    <col min="10" max="10" width="9" style="19" bestFit="1" customWidth="1"/>
    <col min="11" max="13" width="7" style="1" bestFit="1" customWidth="1"/>
    <col min="14" max="17" width="9" bestFit="1" customWidth="1"/>
    <col min="18" max="18" width="23.33203125" bestFit="1" customWidth="1"/>
    <col min="19" max="19" width="9.88671875" style="5" bestFit="1" customWidth="1"/>
    <col min="20" max="20" width="14.77734375" style="5" bestFit="1" customWidth="1"/>
    <col min="21" max="21" width="9" style="5" bestFit="1" customWidth="1"/>
    <col min="22" max="22" width="9" style="1" bestFit="1" customWidth="1"/>
    <col min="23" max="16384" width="8.88671875" style="1"/>
  </cols>
  <sheetData>
    <row r="1" spans="1:22">
      <c r="A1" s="14" t="s">
        <v>1</v>
      </c>
      <c r="B1" s="14" t="s">
        <v>2</v>
      </c>
      <c r="C1" s="14" t="s">
        <v>100</v>
      </c>
      <c r="D1" s="14" t="s">
        <v>101</v>
      </c>
      <c r="E1" s="14" t="s">
        <v>102</v>
      </c>
      <c r="F1" s="14" t="s">
        <v>64</v>
      </c>
      <c r="G1" s="14" t="s">
        <v>106</v>
      </c>
      <c r="H1" s="14" t="s">
        <v>67</v>
      </c>
      <c r="I1" s="14" t="s">
        <v>103</v>
      </c>
      <c r="J1" s="14" t="s">
        <v>107</v>
      </c>
      <c r="K1" s="14" t="s">
        <v>68</v>
      </c>
      <c r="L1" s="14" t="s">
        <v>69</v>
      </c>
      <c r="M1" s="14" t="s">
        <v>70</v>
      </c>
      <c r="N1" s="14" t="s">
        <v>84</v>
      </c>
      <c r="O1" s="14" t="s">
        <v>65</v>
      </c>
      <c r="P1" s="14" t="s">
        <v>117</v>
      </c>
      <c r="Q1" s="14" t="s">
        <v>85</v>
      </c>
      <c r="R1" s="14" t="s">
        <v>118</v>
      </c>
      <c r="S1" s="25" t="s">
        <v>105</v>
      </c>
      <c r="T1" s="25" t="s">
        <v>63</v>
      </c>
      <c r="U1" s="14" t="s">
        <v>83</v>
      </c>
      <c r="V1" s="14" t="s">
        <v>83</v>
      </c>
    </row>
    <row r="2" spans="1:22">
      <c r="T2" s="67"/>
      <c r="U2" s="67"/>
    </row>
  </sheetData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10</vt:i4>
      </vt:variant>
    </vt:vector>
  </HeadingPairs>
  <TitlesOfParts>
    <vt:vector size="17" baseType="lpstr">
      <vt:lpstr>目錄</vt:lpstr>
      <vt:lpstr>Cash_1100現金及約當現金</vt:lpstr>
      <vt:lpstr>Cash_活存明細表</vt:lpstr>
      <vt:lpstr>Cash_支存明細表</vt:lpstr>
      <vt:lpstr>Cash_庫存現金及零用金</vt:lpstr>
      <vt:lpstr>Cash_三個月內定存明細表</vt:lpstr>
      <vt:lpstr>Cash_三個月以上定存明細表</vt:lpstr>
      <vt:lpstr>conn</vt:lpstr>
      <vt:lpstr>PlugAccount</vt:lpstr>
      <vt:lpstr>USD換算成NTD的平均匯率</vt:lpstr>
      <vt:lpstr>USD換算成NTD的期末匯率</vt:lpstr>
      <vt:lpstr>大表科目本位幣調整AJE</vt:lpstr>
      <vt:lpstr>大表科目本位幣調整后</vt:lpstr>
      <vt:lpstr>大表科目本位幣調整前</vt:lpstr>
      <vt:lpstr>關係人按交易幣種分類本位幣金額</vt:lpstr>
      <vt:lpstr>換算成USD的平均匯率</vt:lpstr>
      <vt:lpstr>換算成USD的期末匯率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2019-05-08T08:12:31Z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