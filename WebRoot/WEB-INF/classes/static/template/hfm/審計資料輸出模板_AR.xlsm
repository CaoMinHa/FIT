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8" tabRatio="870"/>
  </bookViews>
  <sheets>
    <sheet name="目錄" sheetId="2" r:id="rId1"/>
    <sheet name="AR_Aging" sheetId="39" r:id="rId2"/>
    <sheet name="AR_Top 5" sheetId="40" r:id="rId3"/>
    <sheet name="AR_By Group" sheetId="41" r:id="rId4"/>
    <sheet name="AR_Consol" sheetId="42" r:id="rId5"/>
    <sheet name="關係人沖銷金額_本位幣" sheetId="38" state="hidden" r:id="rId6"/>
  </sheets>
  <functionGroups builtInGroupCount="18"/>
  <externalReferences>
    <externalReference r:id="rId7"/>
  </externalReferences>
  <definedNames>
    <definedName name="conn">目錄!$B$3</definedName>
    <definedName name="PlugAccount">目錄!$K$10</definedName>
    <definedName name="USD換算成NTD的平均匯率">目錄!$K$9</definedName>
    <definedName name="USD換算成NTD的期末匯率">目錄!$K$8</definedName>
    <definedName name="大表科目本位幣調整AJE">目錄!$K$3</definedName>
    <definedName name="大表科目本位幣調整后">目錄!$K$4</definedName>
    <definedName name="大表科目本位幣調整前">目錄!$K$2</definedName>
    <definedName name="關係人按交易幣種分類本位幣金額">目錄!$K$5</definedName>
    <definedName name="換算成USD的平均匯率">目錄!$K$7</definedName>
    <definedName name="換算成USD的期末匯率">目錄!$K$6</definedName>
  </definedNames>
  <calcPr calcId="162913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5" i="2" l="1"/>
  <c r="AR66" i="42" l="1"/>
  <c r="AR27" i="42"/>
  <c r="C55" i="42" l="1" a="1"/>
  <c r="C55" i="42" s="1"/>
  <c r="C56" i="42" a="1"/>
  <c r="C56" i="42" s="1"/>
  <c r="C19" i="42" a="1"/>
  <c r="C19" i="42" s="1"/>
  <c r="C18" i="42" a="1"/>
  <c r="C18" i="42" s="1"/>
  <c r="C116" i="42"/>
  <c r="AS116" i="42" s="1"/>
  <c r="C115" i="42"/>
  <c r="AS115" i="42" s="1"/>
  <c r="C114" i="42"/>
  <c r="AS114" i="42" s="1"/>
  <c r="C113" i="42"/>
  <c r="AS113" i="42" s="1"/>
  <c r="C112" i="42"/>
  <c r="AS112" i="42" s="1"/>
  <c r="C111" i="42"/>
  <c r="AS111" i="42" s="1"/>
  <c r="C110" i="42"/>
  <c r="AS110" i="42" s="1"/>
  <c r="C109" i="42"/>
  <c r="AS109" i="42" s="1"/>
  <c r="C108" i="42"/>
  <c r="AS108" i="42" s="1"/>
  <c r="C107" i="42"/>
  <c r="AS107" i="42" s="1"/>
  <c r="C106" i="42"/>
  <c r="AS106" i="42" s="1"/>
  <c r="C105" i="42"/>
  <c r="AS105" i="42" s="1"/>
  <c r="C104" i="42"/>
  <c r="AS104" i="42" s="1"/>
  <c r="C103" i="42"/>
  <c r="AS103" i="42" s="1"/>
  <c r="C102" i="42"/>
  <c r="AS102" i="42" s="1"/>
  <c r="C101" i="42"/>
  <c r="AS101" i="42" s="1"/>
  <c r="C100" i="42"/>
  <c r="AS100" i="42" s="1"/>
  <c r="C99" i="42"/>
  <c r="AS99" i="42" s="1"/>
  <c r="C98" i="42"/>
  <c r="AS98" i="42" s="1"/>
  <c r="C97" i="42"/>
  <c r="AS97" i="42" s="1"/>
  <c r="C96" i="42"/>
  <c r="AS96" i="42" s="1"/>
  <c r="C95" i="42"/>
  <c r="AS95" i="42" s="1"/>
  <c r="C94" i="42"/>
  <c r="AS94" i="42" s="1"/>
  <c r="C93" i="42"/>
  <c r="AS93" i="42" s="1"/>
  <c r="C92" i="42"/>
  <c r="AS92" i="42" s="1"/>
  <c r="C91" i="42"/>
  <c r="AS91" i="42" s="1"/>
  <c r="C90" i="42"/>
  <c r="AS90" i="42" s="1"/>
  <c r="C89" i="42"/>
  <c r="AS89" i="42" s="1"/>
  <c r="C88" i="42"/>
  <c r="AS88" i="42" s="1"/>
  <c r="C87" i="42"/>
  <c r="AS87" i="42" s="1"/>
  <c r="C86" i="42"/>
  <c r="AS86" i="42" s="1"/>
  <c r="C85" i="42"/>
  <c r="AS85" i="42" s="1"/>
  <c r="C84" i="42"/>
  <c r="AS84" i="42" s="1"/>
  <c r="C83" i="42"/>
  <c r="AS83" i="42" s="1"/>
  <c r="C82" i="42"/>
  <c r="AQ80" i="42"/>
  <c r="AP80" i="42"/>
  <c r="AO80" i="42"/>
  <c r="AN80" i="42"/>
  <c r="AM80" i="42"/>
  <c r="AL80" i="42"/>
  <c r="AK80" i="42"/>
  <c r="AJ80" i="42"/>
  <c r="AI80" i="42"/>
  <c r="AH80" i="42"/>
  <c r="AG80" i="42"/>
  <c r="AF80" i="42"/>
  <c r="AE80" i="42"/>
  <c r="AD80" i="42"/>
  <c r="AC80" i="42"/>
  <c r="AB80" i="42"/>
  <c r="AA80" i="42"/>
  <c r="Z80" i="42"/>
  <c r="Y80" i="42"/>
  <c r="X80" i="42"/>
  <c r="W80" i="42"/>
  <c r="V80" i="42"/>
  <c r="U80" i="42"/>
  <c r="T80" i="42"/>
  <c r="S80" i="42"/>
  <c r="R80" i="42"/>
  <c r="Q80" i="42"/>
  <c r="P80" i="42"/>
  <c r="O80" i="42"/>
  <c r="N80" i="42"/>
  <c r="M80" i="42"/>
  <c r="L80" i="42"/>
  <c r="K80" i="42"/>
  <c r="J80" i="42"/>
  <c r="I80" i="42"/>
  <c r="H80" i="42"/>
  <c r="G80" i="42"/>
  <c r="F80" i="42"/>
  <c r="E80" i="42"/>
  <c r="C80" i="42"/>
  <c r="AT80" i="42" s="1"/>
  <c r="AU80" i="42" s="1"/>
  <c r="AQ66" i="42"/>
  <c r="AP66" i="42"/>
  <c r="AO66" i="42"/>
  <c r="AM66" i="42"/>
  <c r="AL66" i="42"/>
  <c r="AJ66" i="42"/>
  <c r="AI66" i="42"/>
  <c r="AH66" i="42"/>
  <c r="AG66" i="42"/>
  <c r="AF66" i="42"/>
  <c r="W66" i="42"/>
  <c r="M66" i="42"/>
  <c r="F66" i="42"/>
  <c r="E66" i="42"/>
  <c r="C66" i="42"/>
  <c r="AQ37" i="42"/>
  <c r="AP37" i="42"/>
  <c r="AO37" i="42"/>
  <c r="AN37" i="42"/>
  <c r="AM37" i="42"/>
  <c r="AL37" i="42"/>
  <c r="AK37" i="42"/>
  <c r="AJ37" i="42"/>
  <c r="AI37" i="42"/>
  <c r="AH37" i="42"/>
  <c r="AG37" i="42"/>
  <c r="AF37" i="42"/>
  <c r="AE37" i="42"/>
  <c r="AD37" i="42"/>
  <c r="AC37" i="42"/>
  <c r="AB37" i="42"/>
  <c r="AA37" i="42"/>
  <c r="Z37" i="42"/>
  <c r="Y37" i="42"/>
  <c r="X37" i="42"/>
  <c r="W37" i="42"/>
  <c r="V37" i="42"/>
  <c r="U37" i="42"/>
  <c r="T37" i="42"/>
  <c r="S37" i="42"/>
  <c r="R37" i="42"/>
  <c r="Q37" i="42"/>
  <c r="P37" i="42"/>
  <c r="O37" i="42"/>
  <c r="N37" i="42"/>
  <c r="M37" i="42"/>
  <c r="L37" i="42"/>
  <c r="K37" i="42"/>
  <c r="J37" i="42"/>
  <c r="I37" i="42"/>
  <c r="H37" i="42"/>
  <c r="G37" i="42"/>
  <c r="F37" i="42"/>
  <c r="E37" i="42"/>
  <c r="C37" i="42"/>
  <c r="AT37" i="42" s="1"/>
  <c r="AU37" i="42" s="1"/>
  <c r="AQ27" i="42"/>
  <c r="AP27" i="42"/>
  <c r="AO27" i="42"/>
  <c r="AM27" i="42"/>
  <c r="AL27" i="42"/>
  <c r="AJ27" i="42"/>
  <c r="AI27" i="42"/>
  <c r="AH27" i="42"/>
  <c r="AG27" i="42"/>
  <c r="AF27" i="42"/>
  <c r="W27" i="42"/>
  <c r="M27" i="42"/>
  <c r="F27" i="42"/>
  <c r="E27" i="42"/>
  <c r="C27" i="42"/>
  <c r="Y2" i="42"/>
  <c r="F2" i="42"/>
  <c r="AJ2" i="42"/>
  <c r="Z2" i="42"/>
  <c r="O2" i="42"/>
  <c r="AP2" i="42"/>
  <c r="AO2" i="42"/>
  <c r="D2" i="42"/>
  <c r="C2" i="42"/>
  <c r="AR2" i="42"/>
  <c r="X2" i="42"/>
  <c r="W2" i="42"/>
  <c r="M2" i="42"/>
  <c r="AC2" i="42"/>
  <c r="N2" i="42"/>
  <c r="K2" i="42"/>
  <c r="AH2" i="42"/>
  <c r="AK2" i="42"/>
  <c r="E2" i="42"/>
  <c r="AF2" i="42"/>
  <c r="G2" i="42"/>
  <c r="S2" i="42"/>
  <c r="J2" i="42"/>
  <c r="T2" i="42"/>
  <c r="AQ2" i="42"/>
  <c r="V2" i="42"/>
  <c r="AB2" i="42"/>
  <c r="AD2" i="42"/>
  <c r="I2" i="42"/>
  <c r="AE2" i="42"/>
  <c r="L2" i="42"/>
  <c r="AM2" i="42"/>
  <c r="AN2" i="42"/>
  <c r="U2" i="42"/>
  <c r="R2" i="42"/>
  <c r="AG2" i="42"/>
  <c r="P2" i="42"/>
  <c r="AI2" i="42"/>
  <c r="Q2" i="42"/>
  <c r="H2" i="42"/>
  <c r="AA2" i="42"/>
  <c r="AL2" i="42"/>
  <c r="C20" i="42" l="1"/>
  <c r="C57" i="42"/>
  <c r="C117" i="42"/>
  <c r="AS117" i="42" s="1"/>
  <c r="AS82" i="42"/>
  <c r="K7" i="2" l="1"/>
  <c r="K8" i="2"/>
  <c r="K9" i="2"/>
  <c r="K10" i="2"/>
  <c r="AN27" i="42"/>
  <c r="AN66" i="42"/>
  <c r="K4" i="2" l="1"/>
  <c r="AU34" i="42"/>
  <c r="AU75" i="42"/>
  <c r="AU118" i="42"/>
  <c r="K6" i="2" l="1"/>
  <c r="AB66" i="42"/>
  <c r="O66" i="42"/>
  <c r="AB27" i="42"/>
  <c r="X27" i="42"/>
  <c r="V27" i="42"/>
  <c r="T27" i="42"/>
  <c r="J27" i="42"/>
  <c r="P66" i="42"/>
  <c r="AA66" i="42"/>
  <c r="G27" i="42"/>
  <c r="Q66" i="42"/>
  <c r="N27" i="42"/>
  <c r="K66" i="42"/>
  <c r="U27" i="42"/>
  <c r="AC27" i="42"/>
  <c r="S66" i="42"/>
  <c r="L66" i="42"/>
  <c r="X66" i="42"/>
  <c r="S27" i="42"/>
  <c r="I66" i="42"/>
  <c r="J66" i="42"/>
  <c r="N66" i="42"/>
  <c r="AK27" i="42"/>
  <c r="AD66" i="42"/>
  <c r="L27" i="42"/>
  <c r="K27" i="42"/>
  <c r="R27" i="42"/>
  <c r="G66" i="42"/>
  <c r="AA27" i="42"/>
  <c r="I27" i="42"/>
  <c r="Z27" i="42"/>
  <c r="R66" i="42"/>
  <c r="H66" i="42"/>
  <c r="T66" i="42"/>
  <c r="Q27" i="42"/>
  <c r="Z66" i="42"/>
  <c r="H27" i="42"/>
  <c r="O27" i="42"/>
  <c r="AC66" i="42"/>
  <c r="Y66" i="42"/>
  <c r="AE66" i="42"/>
  <c r="U66" i="42"/>
  <c r="AD27" i="42"/>
  <c r="AK66" i="42"/>
  <c r="V66" i="42"/>
  <c r="AE27" i="42"/>
  <c r="Y27" i="42"/>
  <c r="P27" i="42"/>
  <c r="K3" i="2" l="1"/>
  <c r="K2" i="2"/>
  <c r="AT33" i="42"/>
  <c r="C48" i="42"/>
  <c r="C8" i="42"/>
  <c r="C40" i="42"/>
  <c r="C43" i="42"/>
  <c r="C44" i="42"/>
  <c r="C41" i="42"/>
  <c r="C50" i="42"/>
  <c r="C9" i="42"/>
  <c r="C13" i="42"/>
  <c r="C51" i="42"/>
  <c r="C14" i="42"/>
  <c r="AT117" i="42"/>
  <c r="C42" i="42"/>
  <c r="C7" i="42"/>
  <c r="C47" i="42"/>
  <c r="C12" i="42"/>
  <c r="C6" i="42"/>
  <c r="AT74" i="42"/>
  <c r="C52" i="42"/>
  <c r="C49" i="42"/>
  <c r="C15" i="42"/>
  <c r="C39" i="42"/>
  <c r="C45" i="42" l="1"/>
  <c r="C10" i="42"/>
  <c r="C53" i="42"/>
  <c r="C16" i="42"/>
  <c r="C59" i="42"/>
  <c r="C25" i="42"/>
  <c r="C32" i="42" s="1"/>
  <c r="AS32" i="42" s="1"/>
  <c r="C64" i="42"/>
  <c r="C73" i="42" s="1"/>
  <c r="AS73" i="42" s="1"/>
  <c r="C63" i="42"/>
  <c r="C72" i="42" s="1"/>
  <c r="AS72" i="42" s="1"/>
  <c r="C62" i="42"/>
  <c r="C71" i="42" s="1"/>
  <c r="AS71" i="42" s="1"/>
  <c r="C60" i="42"/>
  <c r="C69" i="42" s="1"/>
  <c r="AS69" i="42" s="1"/>
  <c r="C23" i="42"/>
  <c r="C30" i="42" s="1"/>
  <c r="AS30" i="42" s="1"/>
  <c r="C24" i="42"/>
  <c r="C31" i="42" s="1"/>
  <c r="AS31" i="42" s="1"/>
  <c r="C22" i="42"/>
  <c r="C61" i="42"/>
  <c r="C70" i="42" s="1"/>
  <c r="AS70" i="42" s="1"/>
  <c r="AU117" i="42"/>
  <c r="C26" i="42" l="1"/>
  <c r="C65" i="42"/>
  <c r="C29" i="42"/>
  <c r="AU119" i="42"/>
  <c r="AV117" i="42"/>
  <c r="C68" i="42"/>
  <c r="C74" i="42" s="1"/>
  <c r="AS74" i="42" s="1"/>
  <c r="AU74" i="42" s="1"/>
  <c r="AV74" i="42" l="1"/>
  <c r="AU76" i="42"/>
  <c r="C33" i="42"/>
  <c r="AS33" i="42" s="1"/>
  <c r="AU33" i="42" s="1"/>
  <c r="AS29" i="42"/>
  <c r="AS68" i="42"/>
  <c r="AV33" i="42" l="1"/>
  <c r="AU35" i="42"/>
  <c r="C78" i="42"/>
</calcChain>
</file>

<file path=xl/sharedStrings.xml><?xml version="1.0" encoding="utf-8"?>
<sst xmlns="http://schemas.openxmlformats.org/spreadsheetml/2006/main" count="665" uniqueCount="217">
  <si>
    <t>基本信息</t>
  </si>
  <si>
    <t>年份</t>
  </si>
  <si>
    <t>月份</t>
  </si>
  <si>
    <t>No.</t>
  </si>
  <si>
    <t>公司編碼</t>
  </si>
  <si>
    <t>公司名稱</t>
  </si>
  <si>
    <t>G60452</t>
  </si>
  <si>
    <t>E60491</t>
  </si>
  <si>
    <t>E60461</t>
  </si>
  <si>
    <t>E60528</t>
  </si>
  <si>
    <t>E60567</t>
  </si>
  <si>
    <t>E60095</t>
  </si>
  <si>
    <t>E80008</t>
  </si>
  <si>
    <t>E60067</t>
  </si>
  <si>
    <t>E60068</t>
  </si>
  <si>
    <t>E60069</t>
  </si>
  <si>
    <t>E60064</t>
  </si>
  <si>
    <t>E60252</t>
  </si>
  <si>
    <t>E60557</t>
  </si>
  <si>
    <t>E60203</t>
  </si>
  <si>
    <t>E60617</t>
  </si>
  <si>
    <t>E60677</t>
  </si>
  <si>
    <t>E60715</t>
  </si>
  <si>
    <t>E60751</t>
  </si>
  <si>
    <t>E60748</t>
  </si>
  <si>
    <t>E60808</t>
  </si>
  <si>
    <t>E60822</t>
  </si>
  <si>
    <t>E60824</t>
  </si>
  <si>
    <t>E60052</t>
  </si>
  <si>
    <t>E60680</t>
  </si>
  <si>
    <t>E60156</t>
  </si>
  <si>
    <t>E60159</t>
  </si>
  <si>
    <t>E60507</t>
  </si>
  <si>
    <t>E60531</t>
  </si>
  <si>
    <t>E60466</t>
  </si>
  <si>
    <t>E60077</t>
  </si>
  <si>
    <t>E60464</t>
  </si>
  <si>
    <t>E60600</t>
  </si>
  <si>
    <t>E60601</t>
  </si>
  <si>
    <t>E60637</t>
  </si>
  <si>
    <t>E60602</t>
  </si>
  <si>
    <t>E60710</t>
  </si>
  <si>
    <t>E60711</t>
  </si>
  <si>
    <t>E60799</t>
  </si>
  <si>
    <t>E60838</t>
  </si>
  <si>
    <t>E60844</t>
  </si>
  <si>
    <t>連接名</t>
  </si>
  <si>
    <t>FIT1</t>
  </si>
  <si>
    <t>大表科目本位幣調整前</t>
  </si>
  <si>
    <t>大表科目本位幣調整后</t>
  </si>
  <si>
    <t>大表科目本位幣調整AJE</t>
  </si>
  <si>
    <t>Total</t>
  </si>
  <si>
    <t>排名 By Group</t>
  </si>
  <si>
    <t>發票日期</t>
  </si>
  <si>
    <t>匯率</t>
  </si>
  <si>
    <t>發票號碼</t>
  </si>
  <si>
    <t>記賬幣種</t>
  </si>
  <si>
    <t>USD</t>
  </si>
  <si>
    <t>Group</t>
  </si>
  <si>
    <t>By currency</t>
  </si>
  <si>
    <t>RMB</t>
  </si>
  <si>
    <t>NTD</t>
  </si>
  <si>
    <t>USD’000</t>
  </si>
  <si>
    <t>NBSL010101_2180</t>
  </si>
  <si>
    <t>換算成USD的平均匯率</t>
  </si>
  <si>
    <t>換算成USD的期末匯率</t>
  </si>
  <si>
    <t>JPY</t>
  </si>
  <si>
    <t>VND</t>
  </si>
  <si>
    <t>GBP</t>
  </si>
  <si>
    <t>KRW</t>
  </si>
  <si>
    <t>HKD</t>
  </si>
  <si>
    <t>CNY</t>
  </si>
  <si>
    <t>MXI</t>
  </si>
  <si>
    <t>表單名稱</t>
  </si>
  <si>
    <t>原幣幣別</t>
  </si>
  <si>
    <t>餘額</t>
  </si>
  <si>
    <t>賒帳期限</t>
  </si>
  <si>
    <t>賬齡 - 3個月以內</t>
  </si>
  <si>
    <t>賬齡 - 3~6個月</t>
  </si>
  <si>
    <t>賬齡 - 3~4個月</t>
  </si>
  <si>
    <t>賬齡 - 4~6個月</t>
  </si>
  <si>
    <t>賬齡 - 6~12個月</t>
  </si>
  <si>
    <t>賬齡 -  1~2年</t>
  </si>
  <si>
    <t>賬齡 - 2~3年</t>
  </si>
  <si>
    <t>賬齡 - 3年以上</t>
  </si>
  <si>
    <t>NBSA0101_1180</t>
  </si>
  <si>
    <t>NBSA0101_1210</t>
  </si>
  <si>
    <t>Package大表沖銷后金額</t>
  </si>
  <si>
    <t xml:space="preserve"> </t>
  </si>
  <si>
    <t>#Invalid</t>
  </si>
  <si>
    <t>141001</t>
  </si>
  <si>
    <t>NBSL010101_2220</t>
  </si>
  <si>
    <t>關係人按交易幣種分類本位幣金額</t>
  </si>
  <si>
    <t>是否取自數據庫</t>
  </si>
  <si>
    <t>數據庫表名</t>
  </si>
  <si>
    <t>N</t>
  </si>
  <si>
    <t>是否取自HFM表單</t>
  </si>
  <si>
    <t>是否隱藏表單</t>
  </si>
  <si>
    <t>PlugAccount</t>
  </si>
  <si>
    <t>法人編碼</t>
  </si>
  <si>
    <t>法人名稱</t>
  </si>
  <si>
    <t>本幣幣別</t>
  </si>
  <si>
    <t>USD換算成NTD的期末匯率</t>
  </si>
  <si>
    <t>USD換算成NTD的平均匯率</t>
  </si>
  <si>
    <t>合併調整</t>
  </si>
  <si>
    <t>沖銷金額-本位幣</t>
  </si>
  <si>
    <t>沖銷后金額-本位幣</t>
  </si>
  <si>
    <t>沖銷后金額-USD</t>
  </si>
  <si>
    <t>沖銷前金額-本位幣</t>
  </si>
  <si>
    <t>合併調整前</t>
  </si>
  <si>
    <t>Check with Package大表沖銷后金額</t>
  </si>
  <si>
    <t>AR_Aging</t>
  </si>
  <si>
    <t>AR_Top 5</t>
  </si>
  <si>
    <t>AR_By Group</t>
  </si>
  <si>
    <t>AR_Consol</t>
  </si>
  <si>
    <t>FIT_AUDIT_AR_AGING_C</t>
  </si>
  <si>
    <t>FIT_AUDIT_AR_TOP5</t>
  </si>
  <si>
    <t>FIT_AUDIT_AR_GROUP</t>
  </si>
  <si>
    <t>Y</t>
  </si>
  <si>
    <t>客户代碼</t>
  </si>
  <si>
    <t>客户名稱</t>
  </si>
  <si>
    <t>合併事業體/非合併事業體及關係人/3rd party</t>
  </si>
  <si>
    <t>收款條件</t>
  </si>
  <si>
    <t>原幣未收金額</t>
  </si>
  <si>
    <t>本幣未收金額</t>
  </si>
  <si>
    <t>到期日期</t>
  </si>
  <si>
    <t>發票日期-賬齡天數</t>
  </si>
  <si>
    <t>到期日期-逾期</t>
  </si>
  <si>
    <t>美幣未收 by invoice</t>
  </si>
  <si>
    <t>賬齡(3個月以內) by invoice</t>
  </si>
  <si>
    <t>賬齡(3 to 4個月) by invoice</t>
  </si>
  <si>
    <t>賬齡(4~6個月) by invoice</t>
  </si>
  <si>
    <t>賬齡(6~12個月) by invoice</t>
  </si>
  <si>
    <t>賬齡(1 to 2 years) by invoice</t>
  </si>
  <si>
    <t>賬齡(2 to 3 years) by invoice</t>
  </si>
  <si>
    <t>賬齡(Over 3 years) by invoice</t>
  </si>
  <si>
    <t>美幣未收 by due date</t>
  </si>
  <si>
    <t>未逾期金額 by due date</t>
  </si>
  <si>
    <t>賬齡(3個月以內) by due date</t>
  </si>
  <si>
    <t>賬齡(3~4個月) by due date</t>
  </si>
  <si>
    <t>賬齡(4~6個月) by due date</t>
  </si>
  <si>
    <t>賬齡(6~12個月) by due date</t>
  </si>
  <si>
    <t>賬齡(1~2年) by due date</t>
  </si>
  <si>
    <t>賬齡(2~3年) by due date</t>
  </si>
  <si>
    <t>賬齡(3年以上) by due date</t>
  </si>
  <si>
    <t>帳款編號</t>
  </si>
  <si>
    <t>期後收款（已收款金額）</t>
  </si>
  <si>
    <t>期後收款（未收款金額）</t>
  </si>
  <si>
    <t>客戶名稱</t>
  </si>
  <si>
    <t>期後已收款金額</t>
  </si>
  <si>
    <t>美幣未收金額</t>
  </si>
  <si>
    <t>應收帳款</t>
  </si>
  <si>
    <t>NBSA0101_1150</t>
  </si>
  <si>
    <t>應收票據</t>
  </si>
  <si>
    <t>NBSA0101_1160</t>
  </si>
  <si>
    <t>應收票據-關係人</t>
  </si>
  <si>
    <t>NBSA0101_1170</t>
  </si>
  <si>
    <t>應收帳款-關係人</t>
  </si>
  <si>
    <t>應收票據AJE</t>
  </si>
  <si>
    <t>應收票據-關係人AJE</t>
  </si>
  <si>
    <t>應收帳款AJE</t>
  </si>
  <si>
    <t>應收帳款-關係人AJE</t>
  </si>
  <si>
    <t>其他應收款</t>
  </si>
  <si>
    <t>NBSA0101_1200</t>
  </si>
  <si>
    <t>其他應收款-關係人</t>
  </si>
  <si>
    <t>NBSA0101_1410</t>
  </si>
  <si>
    <t>預付款項</t>
  </si>
  <si>
    <t>NBSA0101_1470</t>
  </si>
  <si>
    <t>其他流動資產</t>
  </si>
  <si>
    <t>NBSA0101_1900</t>
  </si>
  <si>
    <t>其他非流動資產</t>
  </si>
  <si>
    <t>NBSA0101_1996</t>
  </si>
  <si>
    <t>內部往來</t>
  </si>
  <si>
    <t>其他應收款AJE</t>
  </si>
  <si>
    <t>其他應收款-關係人AJE</t>
  </si>
  <si>
    <t>預付款項AJE</t>
  </si>
  <si>
    <t>其他流動資產AJE</t>
  </si>
  <si>
    <t>其他非流動資產AJE</t>
  </si>
  <si>
    <t>內部往來AJE</t>
  </si>
  <si>
    <t>預付款項-關係人</t>
  </si>
  <si>
    <t>應收帳款+其他應收款 USD</t>
  </si>
  <si>
    <t>EUR</t>
  </si>
  <si>
    <t>AUD</t>
  </si>
  <si>
    <t>BRL</t>
  </si>
  <si>
    <t>CAD</t>
  </si>
  <si>
    <t>CHF</t>
  </si>
  <si>
    <t>AED</t>
  </si>
  <si>
    <t>CZK</t>
  </si>
  <si>
    <t>DKK</t>
  </si>
  <si>
    <t>HUF</t>
  </si>
  <si>
    <t>IDR</t>
  </si>
  <si>
    <t>IEP</t>
  </si>
  <si>
    <t>INR</t>
  </si>
  <si>
    <t>MXN</t>
  </si>
  <si>
    <t>MYR</t>
  </si>
  <si>
    <t>NOK</t>
  </si>
  <si>
    <t>NZD</t>
  </si>
  <si>
    <t>PHP</t>
  </si>
  <si>
    <t>PLN</t>
  </si>
  <si>
    <t>RON</t>
  </si>
  <si>
    <t>RUB</t>
  </si>
  <si>
    <t>SEK</t>
  </si>
  <si>
    <t>SGD</t>
  </si>
  <si>
    <t>SKK</t>
  </si>
  <si>
    <t>THB</t>
  </si>
  <si>
    <t>TRY</t>
  </si>
  <si>
    <t>UAH</t>
  </si>
  <si>
    <t>ZAR</t>
  </si>
  <si>
    <t>Package大表應收帳款金額</t>
  </si>
  <si>
    <t>Check with 大表</t>
  </si>
  <si>
    <t>審計資料輸出模板-AR</t>
  </si>
  <si>
    <t>關係人沖銷金額_本位幣</t>
  </si>
  <si>
    <t>H60452</t>
  </si>
  <si>
    <t>E60452</t>
  </si>
  <si>
    <t>E60847</t>
  </si>
  <si>
    <t>AJE-本位幣</t>
  </si>
  <si>
    <t>AR_Aging-USD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</si>
</sst>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44" formatCode="_ &quot;¥&quot;* #,##0.00_ ;_ &quot;¥&quot;* \-#,##0.00_ ;_ &quot;¥&quot;* &quot;-&quot;??_ ;_ @_ "/>
    <numFmt numFmtId="43" formatCode="_ * #,##0.00_ ;_ * \-#,##0.00_ ;_ * &quot;-&quot;??_ ;_ @_ "/>
    <numFmt numFmtId="164" formatCode="_-[$$-404]* #,##0.00_-;\-[$$-404]* #,##0.00_-;_-[$$-404]* &quot;-&quot;??_-;_-@_-"/>
    <numFmt numFmtId="165" formatCode="_-* #,##0.00_-;\-* #,##0.00_-;_-* &quot;-&quot;??_-;_-@_-"/>
    <numFmt numFmtId="166" formatCode="_(* #,##0.00_);_(* \(#,##0.00\);_(* &quot;-&quot;??_);_(@_)"/>
    <numFmt numFmtId="167" formatCode="_ * #,##0.0000_ ;_ * \-#,##0.0000_ ;_ * &quot;-&quot;??_ ;_ @_ "/>
    <numFmt numFmtId="168" formatCode="_ * #,##0.000000_ ;_ * \-#,##0.000000_ ;_ * &quot;-&quot;??_ ;_ @_ "/>
  </numFmts>
  <fonts count="26">
    <font>
      <sz val="10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name val="Arial"/>
      <family val="2"/>
    </font>
    <font>
      <b/>
      <sz val="14"/>
      <name val="Georgia"/>
      <family val="1"/>
    </font>
    <font>
      <sz val="12"/>
      <name val="新細明體"/>
      <family val="1"/>
      <charset val="136"/>
    </font>
    <font>
      <b/>
      <sz val="10"/>
      <color theme="0"/>
      <name val="Georgia"/>
      <family val="1"/>
    </font>
    <font>
      <sz val="9"/>
      <name val="Arial"/>
      <family val="2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</font>
    <font>
      <sz val="10"/>
      <name val="Times New Roman"/>
      <family val="1"/>
    </font>
    <font>
      <sz val="11"/>
      <color theme="1"/>
      <name val="Calibri"/>
      <family val="3"/>
      <charset val="134"/>
      <scheme val="minor"/>
    </font>
    <font>
      <sz val="11"/>
      <color indexed="8"/>
      <name val="宋体"/>
      <family val="3"/>
      <charset val="134"/>
    </font>
    <font>
      <sz val="9"/>
      <name val="等线"/>
      <charset val="134"/>
    </font>
    <font>
      <sz val="9"/>
      <color rgb="FF000000"/>
      <name val="等线"/>
      <charset val="134"/>
    </font>
    <font>
      <b/>
      <sz val="9"/>
      <name val="等线"/>
      <charset val="134"/>
    </font>
    <font>
      <sz val="10"/>
      <color theme="1"/>
      <name val="Arial Unicode MS"/>
      <family val="2"/>
    </font>
    <font>
      <b/>
      <u/>
      <sz val="9"/>
      <name val="等线"/>
      <charset val="134"/>
    </font>
    <font>
      <sz val="11"/>
      <color theme="1"/>
      <name val="Arial"/>
      <family val="2"/>
    </font>
    <font>
      <b/>
      <sz val="10"/>
      <color theme="0"/>
      <name val="等线"/>
      <charset val="134"/>
    </font>
    <font>
      <sz val="11"/>
      <name val="等线"/>
      <charset val="134"/>
    </font>
    <font>
      <sz val="9"/>
      <color rgb="FF800000"/>
      <name val="Arial"/>
      <family val="2"/>
    </font>
    <font>
      <sz val="12"/>
      <name val="Times New Roman"/>
      <family val="1"/>
    </font>
    <font>
      <sz val="11"/>
      <color theme="1"/>
      <name val="Calibri"/>
      <family val="1"/>
      <charset val="136"/>
      <scheme val="minor"/>
    </font>
    <font>
      <sz val="10"/>
      <name val="Georgia"/>
      <family val="1"/>
    </font>
    <font>
      <b/>
      <sz val="9"/>
      <color theme="0"/>
      <name val="Times New Roman"/>
      <family val="1"/>
    </font>
  </fonts>
  <fills count="11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BDAE7"/>
        <bgColor indexed="64"/>
      </patternFill>
    </fill>
    <fill>
      <patternFill patternType="solid">
        <fgColor rgb="FFB2CBB6"/>
        <bgColor indexed="64"/>
      </patternFill>
    </fill>
    <fill>
      <patternFill patternType="solid">
        <fgColor rgb="FFED9A5D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thin">
        <color theme="0" tint="-4.9989318521683403E-2"/>
      </bottom>
      <diagonal/>
    </border>
    <border>
      <left/>
      <right/>
      <top style="thin">
        <color theme="4" tint="-0.249977111117893"/>
      </top>
      <bottom style="thin">
        <color theme="4" tint="-0.249977111117893"/>
      </bottom>
      <diagonal/>
    </border>
    <border>
      <left/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 style="thin">
        <color theme="4" tint="-0.249977111117893"/>
      </left>
      <right/>
      <top style="thin">
        <color theme="4" tint="-0.249977111117893"/>
      </top>
      <bottom style="thin">
        <color theme="4" tint="-0.249977111117893"/>
      </bottom>
      <diagonal/>
    </border>
    <border>
      <left style="medium">
        <color theme="4" tint="-0.249977111117893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/>
      <right/>
      <top style="thin">
        <color theme="4" tint="-0.249977111117893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  <border>
      <left/>
      <right/>
      <top/>
      <bottom style="thin">
        <color theme="4"/>
      </bottom>
      <diagonal/>
    </border>
    <border>
      <left style="thin">
        <color theme="4" tint="0.39997558519241921"/>
      </left>
      <right style="thin">
        <color theme="0"/>
      </right>
      <top style="thin">
        <color theme="4" tint="-0.249977111117893"/>
      </top>
      <bottom/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  <border>
      <left style="thin">
        <color theme="0"/>
      </left>
      <right/>
      <top/>
      <bottom style="thin">
        <color theme="4"/>
      </bottom>
      <diagonal/>
    </border>
    <border>
      <left style="thin">
        <color theme="4" tint="-0.249977111117893"/>
      </left>
      <right style="thin">
        <color theme="4" tint="-0.249977111117893"/>
      </right>
      <top/>
      <bottom style="thin">
        <color theme="4" tint="-0.249977111117893"/>
      </bottom>
      <diagonal/>
    </border>
    <border>
      <left/>
      <right style="thin">
        <color theme="4" tint="-0.249977111117893"/>
      </right>
      <top/>
      <bottom style="thin">
        <color theme="4" tint="-0.249977111117893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4" tint="-0.249977111117893"/>
      </left>
      <right/>
      <top style="thin">
        <color theme="4" tint="-0.249977111117893"/>
      </top>
      <bottom/>
      <diagonal/>
    </border>
  </borders>
  <cellStyleXfs count="22">
    <xf numFmtId="0" fontId="0" fillId="0" borderId="0"/>
    <xf numFmtId="43" fontId="1" fillId="0" borderId="0" applyFont="0" applyFill="0" applyBorder="0" applyAlignment="0" applyProtection="0"/>
    <xf numFmtId="0" fontId="2" fillId="0" borderId="0"/>
    <xf numFmtId="0" fontId="5" fillId="0" borderId="0"/>
    <xf numFmtId="0" fontId="3" fillId="2" borderId="1">
      <alignment vertical="center"/>
      <protection locked="0"/>
    </xf>
    <xf numFmtId="164" fontId="8" fillId="0" borderId="0">
      <alignment vertical="center"/>
    </xf>
    <xf numFmtId="0" fontId="2" fillId="0" borderId="0"/>
    <xf numFmtId="165" fontId="8" fillId="0" borderId="0" applyFont="0" applyFill="0" applyBorder="0" applyAlignment="0" applyProtection="0">
      <alignment vertical="center"/>
    </xf>
    <xf numFmtId="164" fontId="9" fillId="0" borderId="0">
      <alignment vertical="center"/>
    </xf>
    <xf numFmtId="164" fontId="10" fillId="0" borderId="0">
      <protection locked="0"/>
    </xf>
    <xf numFmtId="164" fontId="11" fillId="0" borderId="0">
      <alignment vertical="center"/>
      <protection locked="0"/>
    </xf>
    <xf numFmtId="164" fontId="11" fillId="0" borderId="0">
      <alignment vertical="center"/>
      <protection locked="0"/>
    </xf>
    <xf numFmtId="166" fontId="12" fillId="0" borderId="0" applyFont="0" applyFill="0" applyBorder="0" applyAlignment="0" applyProtection="0"/>
    <xf numFmtId="0" fontId="8" fillId="0" borderId="0">
      <alignment vertical="center"/>
    </xf>
    <xf numFmtId="164" fontId="16" fillId="0" borderId="0"/>
    <xf numFmtId="164" fontId="18" fillId="0" borderId="0"/>
    <xf numFmtId="0" fontId="8" fillId="0" borderId="0">
      <alignment vertical="center"/>
    </xf>
    <xf numFmtId="165" fontId="8" fillId="0" borderId="0" applyFont="0" applyFill="0" applyBorder="0" applyAlignment="0" applyProtection="0">
      <alignment vertical="center"/>
    </xf>
    <xf numFmtId="0" fontId="22" fillId="0" borderId="0"/>
    <xf numFmtId="0" fontId="23" fillId="0" borderId="0">
      <alignment vertical="center"/>
    </xf>
    <xf numFmtId="0" fontId="11" fillId="0" borderId="0">
      <alignment vertical="center"/>
      <protection locked="0"/>
    </xf>
    <xf numFmtId="0" fontId="11" fillId="0" borderId="0">
      <alignment vertical="center"/>
      <protection locked="0"/>
    </xf>
  </cellStyleXfs>
  <cellXfs count="86">
    <xf numFmtId="0" fontId="0" fillId="0" borderId="0" xfId="0"/>
    <xf numFmtId="0" fontId="2" fillId="0" borderId="0" xfId="2"/>
    <xf numFmtId="0" fontId="2" fillId="0" borderId="0" xfId="2" applyNumberFormat="1"/>
    <xf numFmtId="43" fontId="2" fillId="0" borderId="0" xfId="1" applyFont="1"/>
    <xf numFmtId="43" fontId="6" fillId="3" borderId="6" xfId="5" applyNumberFormat="1" applyFont="1" applyFill="1" applyBorder="1" applyAlignment="1">
      <alignment horizontal="center" vertical="center"/>
    </xf>
    <xf numFmtId="43" fontId="2" fillId="0" borderId="0" xfId="2" applyNumberFormat="1"/>
    <xf numFmtId="0" fontId="2" fillId="0" borderId="0" xfId="2" applyAlignment="1"/>
    <xf numFmtId="49" fontId="6" fillId="3" borderId="6" xfId="5" applyNumberFormat="1" applyFont="1" applyFill="1" applyBorder="1" applyAlignment="1">
      <alignment horizontal="center" vertical="center" wrapText="1"/>
    </xf>
    <xf numFmtId="43" fontId="6" fillId="3" borderId="6" xfId="5" applyNumberFormat="1" applyFont="1" applyFill="1" applyBorder="1" applyAlignment="1">
      <alignment horizontal="center" vertical="center" wrapText="1"/>
    </xf>
    <xf numFmtId="43" fontId="2" fillId="0" borderId="0" xfId="2" applyNumberFormat="1" applyAlignment="1"/>
    <xf numFmtId="0" fontId="13" fillId="0" borderId="0" xfId="2" applyFont="1" applyAlignment="1">
      <alignment vertical="center"/>
    </xf>
    <xf numFmtId="0" fontId="13" fillId="0" borderId="0" xfId="2" applyFont="1" applyAlignment="1">
      <alignment vertical="top" wrapText="1"/>
    </xf>
    <xf numFmtId="0" fontId="13" fillId="0" borderId="0" xfId="2" applyFont="1"/>
    <xf numFmtId="0" fontId="15" fillId="0" borderId="4" xfId="5" applyNumberFormat="1" applyFont="1" applyFill="1" applyBorder="1" applyAlignment="1">
      <alignment horizontal="left" vertical="center"/>
    </xf>
    <xf numFmtId="0" fontId="13" fillId="0" borderId="4" xfId="5" applyNumberFormat="1" applyFont="1" applyFill="1" applyBorder="1" applyAlignment="1">
      <alignment horizontal="left" vertical="center" indent="1"/>
    </xf>
    <xf numFmtId="0" fontId="13" fillId="0" borderId="0" xfId="2" applyFont="1" applyAlignment="1">
      <alignment horizontal="center" vertical="center"/>
    </xf>
    <xf numFmtId="0" fontId="13" fillId="0" borderId="4" xfId="5" applyNumberFormat="1" applyFont="1" applyFill="1" applyBorder="1" applyAlignment="1">
      <alignment horizontal="left" vertical="center" wrapText="1" indent="1"/>
    </xf>
    <xf numFmtId="0" fontId="13" fillId="0" borderId="0" xfId="5" applyNumberFormat="1" applyFont="1" applyFill="1" applyBorder="1" applyAlignment="1">
      <alignment horizontal="left" vertical="center" wrapText="1"/>
    </xf>
    <xf numFmtId="0" fontId="2" fillId="0" borderId="0" xfId="2" applyAlignment="1">
      <alignment vertical="center"/>
    </xf>
    <xf numFmtId="43" fontId="14" fillId="0" borderId="3" xfId="1" applyFont="1" applyFill="1" applyBorder="1" applyAlignment="1">
      <alignment horizontal="right" vertical="center" wrapText="1"/>
    </xf>
    <xf numFmtId="43" fontId="14" fillId="0" borderId="4" xfId="1" applyFont="1" applyFill="1" applyBorder="1" applyAlignment="1">
      <alignment horizontal="right" vertical="center" wrapText="1"/>
    </xf>
    <xf numFmtId="43" fontId="14" fillId="0" borderId="4" xfId="1" applyFont="1" applyFill="1" applyBorder="1" applyAlignment="1">
      <alignment horizontal="right" vertical="center"/>
    </xf>
    <xf numFmtId="43" fontId="14" fillId="0" borderId="3" xfId="1" applyFont="1" applyFill="1" applyBorder="1" applyAlignment="1">
      <alignment horizontal="right" vertical="center"/>
    </xf>
    <xf numFmtId="0" fontId="7" fillId="4" borderId="8" xfId="2" applyNumberFormat="1" applyFont="1" applyFill="1" applyBorder="1" applyAlignment="1">
      <alignment horizontal="center" vertical="center"/>
    </xf>
    <xf numFmtId="0" fontId="7" fillId="0" borderId="8" xfId="2" applyNumberFormat="1" applyFont="1" applyFill="1" applyBorder="1" applyAlignment="1">
      <alignment horizontal="center" vertical="center"/>
    </xf>
    <xf numFmtId="0" fontId="6" fillId="3" borderId="13" xfId="2" applyNumberFormat="1" applyFont="1" applyFill="1" applyBorder="1" applyAlignment="1">
      <alignment horizontal="center" vertical="center"/>
    </xf>
    <xf numFmtId="167" fontId="14" fillId="0" borderId="3" xfId="1" applyNumberFormat="1" applyFont="1" applyFill="1" applyBorder="1" applyAlignment="1">
      <alignment horizontal="right" vertical="center"/>
    </xf>
    <xf numFmtId="49" fontId="19" fillId="3" borderId="6" xfId="5" applyNumberFormat="1" applyFont="1" applyFill="1" applyBorder="1" applyAlignment="1">
      <alignment horizontal="center" vertical="center"/>
    </xf>
    <xf numFmtId="49" fontId="19" fillId="3" borderId="6" xfId="5" applyNumberFormat="1" applyFont="1" applyFill="1" applyBorder="1" applyAlignment="1">
      <alignment horizontal="left" vertical="center"/>
    </xf>
    <xf numFmtId="0" fontId="0" fillId="0" borderId="0" xfId="0" applyProtection="1">
      <protection locked="0"/>
    </xf>
    <xf numFmtId="49" fontId="20" fillId="6" borderId="14" xfId="0" applyNumberFormat="1" applyFont="1" applyFill="1" applyBorder="1" applyProtection="1"/>
    <xf numFmtId="0" fontId="20" fillId="6" borderId="14" xfId="0" applyNumberFormat="1" applyFont="1" applyFill="1" applyBorder="1" applyProtection="1"/>
    <xf numFmtId="4" fontId="20" fillId="7" borderId="14" xfId="0" applyNumberFormat="1" applyFont="1" applyFill="1" applyBorder="1" applyProtection="1"/>
    <xf numFmtId="4" fontId="20" fillId="8" borderId="14" xfId="0" applyNumberFormat="1" applyFont="1" applyFill="1" applyBorder="1" applyProtection="1"/>
    <xf numFmtId="0" fontId="7" fillId="0" borderId="8" xfId="2" applyFont="1" applyFill="1" applyBorder="1" applyAlignment="1">
      <alignment horizontal="left" vertical="center"/>
    </xf>
    <xf numFmtId="0" fontId="6" fillId="3" borderId="15" xfId="2" applyNumberFormat="1" applyFont="1" applyFill="1" applyBorder="1" applyAlignment="1">
      <alignment horizontal="center" vertical="center"/>
    </xf>
    <xf numFmtId="0" fontId="2" fillId="0" borderId="0" xfId="2" applyAlignment="1">
      <alignment horizontal="center"/>
    </xf>
    <xf numFmtId="0" fontId="7" fillId="0" borderId="8" xfId="2" applyFont="1" applyFill="1" applyBorder="1" applyAlignment="1">
      <alignment horizontal="center" vertical="center"/>
    </xf>
    <xf numFmtId="0" fontId="7" fillId="0" borderId="8" xfId="2" applyFont="1" applyFill="1" applyBorder="1" applyAlignment="1">
      <alignment horizontal="left" vertical="center"/>
    </xf>
    <xf numFmtId="0" fontId="7" fillId="0" borderId="0" xfId="2" applyFont="1" applyFill="1" applyBorder="1" applyAlignment="1">
      <alignment horizontal="center" vertical="center"/>
    </xf>
    <xf numFmtId="0" fontId="6" fillId="0" borderId="0" xfId="2" applyNumberFormat="1" applyFont="1" applyFill="1" applyBorder="1" applyAlignment="1">
      <alignment horizontal="center" vertical="center"/>
    </xf>
    <xf numFmtId="0" fontId="13" fillId="0" borderId="16" xfId="5" applyNumberFormat="1" applyFont="1" applyFill="1" applyBorder="1" applyAlignment="1">
      <alignment horizontal="left" vertical="center" indent="1"/>
    </xf>
    <xf numFmtId="43" fontId="14" fillId="0" borderId="17" xfId="1" applyFont="1" applyFill="1" applyBorder="1" applyAlignment="1">
      <alignment horizontal="right" vertical="center"/>
    </xf>
    <xf numFmtId="43" fontId="14" fillId="0" borderId="16" xfId="1" applyFont="1" applyFill="1" applyBorder="1" applyAlignment="1">
      <alignment horizontal="right" vertical="center"/>
    </xf>
    <xf numFmtId="0" fontId="15" fillId="0" borderId="4" xfId="5" applyNumberFormat="1" applyFont="1" applyFill="1" applyBorder="1" applyAlignment="1">
      <alignment vertical="center" wrapText="1"/>
    </xf>
    <xf numFmtId="49" fontId="6" fillId="3" borderId="0" xfId="5" applyNumberFormat="1" applyFont="1" applyFill="1" applyBorder="1" applyAlignment="1">
      <alignment horizontal="center" vertical="center"/>
    </xf>
    <xf numFmtId="49" fontId="6" fillId="3" borderId="0" xfId="1" applyNumberFormat="1" applyFont="1" applyFill="1" applyBorder="1" applyAlignment="1">
      <alignment horizontal="center" vertical="center"/>
    </xf>
    <xf numFmtId="14" fontId="6" fillId="3" borderId="0" xfId="5" applyNumberFormat="1" applyFont="1" applyFill="1" applyBorder="1" applyAlignment="1">
      <alignment horizontal="center" vertical="center"/>
    </xf>
    <xf numFmtId="165" fontId="6" fillId="9" borderId="0" xfId="7" applyFont="1" applyFill="1" applyBorder="1" applyAlignment="1">
      <alignment vertical="center"/>
    </xf>
    <xf numFmtId="165" fontId="6" fillId="10" borderId="0" xfId="7" applyFont="1" applyFill="1" applyBorder="1" applyAlignment="1">
      <alignment vertical="center"/>
    </xf>
    <xf numFmtId="49" fontId="24" fillId="0" borderId="0" xfId="2" applyNumberFormat="1" applyFont="1" applyBorder="1" applyAlignment="1">
      <alignment vertical="center" wrapText="1"/>
    </xf>
    <xf numFmtId="43" fontId="2" fillId="0" borderId="0" xfId="1" applyFont="1" applyAlignment="1"/>
    <xf numFmtId="14" fontId="2" fillId="0" borderId="0" xfId="2" applyNumberFormat="1" applyAlignment="1"/>
    <xf numFmtId="44" fontId="2" fillId="0" borderId="0" xfId="2" applyNumberFormat="1" applyAlignment="1"/>
    <xf numFmtId="43" fontId="6" fillId="3" borderId="6" xfId="1" applyFont="1" applyFill="1" applyBorder="1" applyAlignment="1">
      <alignment horizontal="center" vertical="center" wrapText="1"/>
    </xf>
    <xf numFmtId="49" fontId="25" fillId="3" borderId="6" xfId="5" applyNumberFormat="1" applyFont="1" applyFill="1" applyBorder="1" applyAlignment="1">
      <alignment horizontal="center" vertical="center" wrapText="1"/>
    </xf>
    <xf numFmtId="0" fontId="2" fillId="0" borderId="0" xfId="2" applyAlignment="1">
      <alignment horizontal="center" vertical="center" wrapText="1"/>
    </xf>
    <xf numFmtId="43" fontId="14" fillId="0" borderId="17" xfId="1" applyFont="1" applyFill="1" applyBorder="1" applyAlignment="1">
      <alignment horizontal="right" vertical="center" wrapText="1"/>
    </xf>
    <xf numFmtId="43" fontId="14" fillId="0" borderId="16" xfId="1" applyFont="1" applyFill="1" applyBorder="1" applyAlignment="1">
      <alignment horizontal="right" vertical="center" wrapText="1"/>
    </xf>
    <xf numFmtId="0" fontId="13" fillId="0" borderId="4" xfId="5" applyNumberFormat="1" applyFont="1" applyFill="1" applyBorder="1" applyAlignment="1">
      <alignment horizontal="left" vertical="center"/>
    </xf>
    <xf numFmtId="0" fontId="7" fillId="0" borderId="8" xfId="2" applyNumberFormat="1" applyFont="1" applyFill="1" applyBorder="1" applyAlignment="1" applyProtection="1">
      <alignment horizontal="center" vertical="center"/>
      <protection locked="0"/>
    </xf>
    <xf numFmtId="168" fontId="14" fillId="0" borderId="3" xfId="1" applyNumberFormat="1" applyFont="1" applyFill="1" applyBorder="1" applyAlignment="1">
      <alignment horizontal="right" vertical="center"/>
    </xf>
    <xf numFmtId="168" fontId="14" fillId="0" borderId="3" xfId="1" applyNumberFormat="1" applyFont="1" applyFill="1" applyBorder="1" applyAlignment="1">
      <alignment horizontal="right" vertical="center" wrapText="1"/>
    </xf>
    <xf numFmtId="4" fontId="21" fillId="7" borderId="14" xfId="0" applyNumberFormat="1" applyFont="1" applyFill="1" applyBorder="1" applyProtection="1"/>
    <xf numFmtId="0" fontId="7" fillId="0" borderId="9" xfId="2" applyFont="1" applyFill="1" applyBorder="1" applyAlignment="1">
      <alignment horizontal="left" vertical="center"/>
    </xf>
    <xf numFmtId="0" fontId="7" fillId="0" borderId="10" xfId="2" applyFont="1" applyFill="1" applyBorder="1" applyAlignment="1">
      <alignment horizontal="left" vertical="center"/>
    </xf>
    <xf numFmtId="0" fontId="7" fillId="0" borderId="11" xfId="2" applyFont="1" applyFill="1" applyBorder="1" applyAlignment="1">
      <alignment horizontal="left" vertical="center"/>
    </xf>
    <xf numFmtId="0" fontId="7" fillId="0" borderId="9" xfId="2" applyNumberFormat="1" applyFont="1" applyFill="1" applyBorder="1" applyAlignment="1" applyProtection="1">
      <alignment horizontal="left" vertical="center" indent="1"/>
      <protection locked="0"/>
    </xf>
    <xf numFmtId="0" fontId="7" fillId="0" borderId="10" xfId="2" applyNumberFormat="1" applyFont="1" applyFill="1" applyBorder="1" applyAlignment="1" applyProtection="1">
      <alignment horizontal="left" vertical="center" indent="1"/>
      <protection locked="0"/>
    </xf>
    <xf numFmtId="0" fontId="7" fillId="0" borderId="11" xfId="2" applyNumberFormat="1" applyFont="1" applyFill="1" applyBorder="1" applyAlignment="1" applyProtection="1">
      <alignment horizontal="left" vertical="center" indent="1"/>
      <protection locked="0"/>
    </xf>
    <xf numFmtId="0" fontId="6" fillId="3" borderId="8" xfId="2" applyNumberFormat="1" applyFont="1" applyFill="1" applyBorder="1" applyAlignment="1">
      <alignment horizontal="left" vertical="center" indent="1"/>
    </xf>
    <xf numFmtId="0" fontId="4" fillId="0" borderId="12" xfId="2" applyNumberFormat="1" applyFont="1" applyBorder="1" applyAlignment="1">
      <alignment horizontal="left" vertical="center"/>
    </xf>
    <xf numFmtId="0" fontId="6" fillId="3" borderId="18" xfId="2" applyNumberFormat="1" applyFont="1" applyFill="1" applyBorder="1" applyAlignment="1">
      <alignment horizontal="center" vertical="center"/>
    </xf>
    <xf numFmtId="0" fontId="6" fillId="3" borderId="0" xfId="2" applyNumberFormat="1" applyFont="1" applyFill="1" applyBorder="1" applyAlignment="1">
      <alignment horizontal="center" vertical="center"/>
    </xf>
    <xf numFmtId="0" fontId="6" fillId="3" borderId="19" xfId="2" applyNumberFormat="1" applyFont="1" applyFill="1" applyBorder="1" applyAlignment="1">
      <alignment horizontal="center" vertical="center"/>
    </xf>
    <xf numFmtId="0" fontId="15" fillId="5" borderId="5" xfId="5" applyNumberFormat="1" applyFont="1" applyFill="1" applyBorder="1" applyAlignment="1">
      <alignment horizontal="left" vertical="center"/>
    </xf>
    <xf numFmtId="0" fontId="15" fillId="5" borderId="2" xfId="5" applyNumberFormat="1" applyFont="1" applyFill="1" applyBorder="1" applyAlignment="1">
      <alignment horizontal="left" vertical="center"/>
    </xf>
    <xf numFmtId="0" fontId="15" fillId="5" borderId="3" xfId="5" applyNumberFormat="1" applyFont="1" applyFill="1" applyBorder="1" applyAlignment="1">
      <alignment horizontal="left" vertical="center"/>
    </xf>
    <xf numFmtId="0" fontId="15" fillId="0" borderId="5" xfId="5" applyNumberFormat="1" applyFont="1" applyFill="1" applyBorder="1" applyAlignment="1">
      <alignment horizontal="center" vertical="center"/>
    </xf>
    <xf numFmtId="0" fontId="15" fillId="0" borderId="2" xfId="5" applyNumberFormat="1" applyFont="1" applyFill="1" applyBorder="1" applyAlignment="1">
      <alignment horizontal="center" vertical="center"/>
    </xf>
    <xf numFmtId="0" fontId="15" fillId="0" borderId="3" xfId="5" applyNumberFormat="1" applyFont="1" applyFill="1" applyBorder="1" applyAlignment="1">
      <alignment horizontal="center" vertical="center"/>
    </xf>
    <xf numFmtId="0" fontId="17" fillId="0" borderId="20" xfId="2" applyFont="1" applyBorder="1" applyAlignment="1">
      <alignment horizontal="left" vertical="top" wrapText="1"/>
    </xf>
    <xf numFmtId="0" fontId="17" fillId="0" borderId="7" xfId="2" applyFont="1" applyBorder="1" applyAlignment="1">
      <alignment horizontal="left" vertical="top" wrapText="1"/>
    </xf>
    <xf numFmtId="0" fontId="15" fillId="0" borderId="5" xfId="5" applyNumberFormat="1" applyFont="1" applyFill="1" applyBorder="1" applyAlignment="1">
      <alignment horizontal="left" vertical="center"/>
    </xf>
    <xf numFmtId="0" fontId="15" fillId="0" borderId="2" xfId="5" applyNumberFormat="1" applyFont="1" applyFill="1" applyBorder="1" applyAlignment="1">
      <alignment horizontal="left" vertical="center"/>
    </xf>
    <xf numFmtId="0" fontId="15" fillId="0" borderId="3" xfId="5" applyNumberFormat="1" applyFont="1" applyFill="1" applyBorder="1" applyAlignment="1">
      <alignment horizontal="left" vertical="center"/>
    </xf>
  </cellXfs>
  <cellStyles count="22">
    <cellStyle name="Comma 2 4" xfId="12"/>
    <cellStyle name="Normal 111" xfId="14"/>
    <cellStyle name="Normal 2 2" xfId="18"/>
    <cellStyle name="Normal 2 2 10 2" xfId="9"/>
    <cellStyle name="Normal 2 3 3" xfId="20"/>
    <cellStyle name="Normal 2 3 3 2" xfId="10"/>
    <cellStyle name="Normal 3" xfId="19"/>
    <cellStyle name="Normal 6 2" xfId="11"/>
    <cellStyle name="Normal 6 3" xfId="21"/>
    <cellStyle name="常规" xfId="0" builtinId="0"/>
    <cellStyle name="常规 2" xfId="2"/>
    <cellStyle name="常规 2 2" xfId="13"/>
    <cellStyle name="常规 3" xfId="5"/>
    <cellStyle name="常规 3 2" xfId="6"/>
    <cellStyle name="常规 4" xfId="15"/>
    <cellStyle name="千分位 6" xfId="17"/>
    <cellStyle name="千位分隔" xfId="1" builtinId="3"/>
    <cellStyle name="千位分隔 2" xfId="7"/>
    <cellStyle name="填寫區域" xfId="4"/>
    <cellStyle name="一般 2 2 3" xfId="16"/>
    <cellStyle name="一般 5" xfId="8"/>
    <cellStyle name="一般_PACKAGE檢查項目_change_1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510540</xdr:colOff>
      <xdr:row>2</xdr:row>
      <xdr:rowOff>160020</xdr:rowOff>
    </xdr:from>
    <xdr:to>
      <xdr:col>11</xdr:col>
      <xdr:colOff>563880</xdr:colOff>
      <xdr:row>4</xdr:row>
      <xdr:rowOff>0</xdr:rowOff>
    </xdr:to>
    <xdr:sp macro="[0]!Refresh" textlink="">
      <xdr:nvSpPr>
        <xdr:cNvPr id="2" name="圆角矩形 1"/>
        <xdr:cNvSpPr/>
      </xdr:nvSpPr>
      <xdr:spPr>
        <a:xfrm>
          <a:off x="3390900" y="784860"/>
          <a:ext cx="784860" cy="34290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400">
              <a:solidFill>
                <a:schemeClr val="bg1"/>
              </a:solidFill>
            </a:rPr>
            <a:t>Refresh</a:t>
          </a:r>
          <a:endParaRPr lang="en-US" sz="1400">
            <a:solidFill>
              <a:schemeClr val="bg1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Oracle/SmartView/bin/HsTbar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HsDescription"/>
      <definedName name="HsGetValue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2.bin"/><Relationship Id="rId1" Type="http://schemas.openxmlformats.org/officeDocument/2006/relationships/customProperty" Target="../customProperty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3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ustomProperty" Target="../customProperty10.bin"/><Relationship Id="rId13" Type="http://schemas.openxmlformats.org/officeDocument/2006/relationships/customProperty" Target="../customProperty15.bin"/><Relationship Id="rId3" Type="http://schemas.openxmlformats.org/officeDocument/2006/relationships/customProperty" Target="../customProperty5.bin"/><Relationship Id="rId7" Type="http://schemas.openxmlformats.org/officeDocument/2006/relationships/customProperty" Target="../customProperty9.bin"/><Relationship Id="rId12" Type="http://schemas.openxmlformats.org/officeDocument/2006/relationships/customProperty" Target="../customProperty14.bin"/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1.bin"/><Relationship Id="rId6" Type="http://schemas.openxmlformats.org/officeDocument/2006/relationships/customProperty" Target="../customProperty8.bin"/><Relationship Id="rId11" Type="http://schemas.openxmlformats.org/officeDocument/2006/relationships/customProperty" Target="../customProperty13.bin"/><Relationship Id="rId5" Type="http://schemas.openxmlformats.org/officeDocument/2006/relationships/customProperty" Target="../customProperty7.bin"/><Relationship Id="rId10" Type="http://schemas.openxmlformats.org/officeDocument/2006/relationships/customProperty" Target="../customProperty12.bin"/><Relationship Id="rId4" Type="http://schemas.openxmlformats.org/officeDocument/2006/relationships/customProperty" Target="../customProperty6.bin"/><Relationship Id="rId9" Type="http://schemas.openxmlformats.org/officeDocument/2006/relationships/customProperty" Target="../customProperty11.bin"/><Relationship Id="rId14" Type="http://schemas.openxmlformats.org/officeDocument/2006/relationships/customProperty" Target="../customProperty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61"/>
  <sheetViews>
    <sheetView showGridLines="0" tabSelected="1" zoomScaleNormal="100" workbookViewId="0">
      <pane ySplit="6" topLeftCell="A7" activePane="bottomLeft" state="frozen"/>
      <selection pane="bottomLeft" activeCell="Q8" sqref="Q8"/>
    </sheetView>
  </sheetViews>
  <sheetFormatPr defaultRowHeight="13.2"/>
  <cols>
    <col min="1" max="2" width="10.44140625" style="2" customWidth="1"/>
    <col min="3" max="3" width="10.44140625" style="1" customWidth="1"/>
    <col min="4" max="4" width="10" style="1" customWidth="1"/>
    <col min="5" max="5" width="15.109375" style="36" hidden="1" customWidth="1"/>
    <col min="6" max="6" width="19.88671875" style="1" hidden="1" customWidth="1"/>
    <col min="7" max="7" width="18.109375" style="36" hidden="1" customWidth="1"/>
    <col min="8" max="8" width="1.44140625" style="36" hidden="1" customWidth="1"/>
    <col min="9" max="9" width="10.6640625" style="36" customWidth="1"/>
    <col min="10" max="10" width="29.88671875" style="1" hidden="1" customWidth="1"/>
    <col min="11" max="11" width="144.109375" style="1" hidden="1" customWidth="1"/>
    <col min="12" max="12" width="10.33203125" style="1" customWidth="1"/>
    <col min="13" max="16384" width="8.88671875" style="1"/>
  </cols>
  <sheetData>
    <row r="1" spans="1:11" ht="29.4" customHeight="1">
      <c r="A1" s="71" t="s">
        <v>210</v>
      </c>
      <c r="B1" s="71"/>
      <c r="C1" s="71"/>
      <c r="D1" s="71"/>
    </row>
    <row r="2" spans="1:11" ht="19.8" customHeight="1">
      <c r="A2" s="70" t="s">
        <v>0</v>
      </c>
      <c r="B2" s="70"/>
      <c r="C2" s="70"/>
      <c r="D2" s="70"/>
      <c r="J2" s="18" t="s">
        <v>48</v>
      </c>
      <c r="K2" s="18" t="str">
        <f>";Scenario#Actual;Year#"&amp;$B$4&amp;";Period#"&amp;$D$4&amp;";View#YTD;Value#&lt;Entity Currency&gt;;ICP#[ICP None];Custom1#[None];Custom2#[None];Custom3#[None];Custom4#PackageTotal"</f>
        <v>;Scenario#Actual;Year#;Period#;View#YTD;Value#&lt;Entity Currency&gt;;ICP#[ICP None];Custom1#[None];Custom2#[None];Custom3#[None];Custom4#PackageTotal</v>
      </c>
    </row>
    <row r="3" spans="1:11" ht="19.8" customHeight="1">
      <c r="A3" s="23" t="s">
        <v>46</v>
      </c>
      <c r="B3" s="67" t="s">
        <v>47</v>
      </c>
      <c r="C3" s="68"/>
      <c r="D3" s="69"/>
      <c r="J3" s="18" t="s">
        <v>50</v>
      </c>
      <c r="K3" s="18" t="str">
        <f>";Scenario#Actual;Year#"&amp;$B$4&amp;";Period#"&amp;$D$4&amp;";View#YTD;Value#&lt;Entity Curr Adjs&gt;;ICP#[ICP None];Custom1#[None];Custom2#[None];Custom3#[None];Custom4#PackageTotal"</f>
        <v>;Scenario#Actual;Year#;Period#;View#YTD;Value#&lt;Entity Curr Adjs&gt;;ICP#[ICP None];Custom1#[None];Custom2#[None];Custom3#[None];Custom4#PackageTotal</v>
      </c>
    </row>
    <row r="4" spans="1:11" ht="19.8" customHeight="1">
      <c r="A4" s="23" t="s">
        <v>1</v>
      </c>
      <c r="B4" s="60"/>
      <c r="C4" s="23" t="s">
        <v>2</v>
      </c>
      <c r="D4" s="60"/>
      <c r="J4" s="18" t="s">
        <v>49</v>
      </c>
      <c r="K4" s="18" t="str">
        <f>";Scenario#Actual;Year#"&amp;$B$4&amp;";Period#"&amp;$D$4&amp;";View#YTD;Value#&lt;Entity Curr Total&gt;;ICP#[ICP None];Custom1#[None];Custom2#[None];Custom3#[None];Custom4#PackageTotal"</f>
        <v>;Scenario#Actual;Year#;Period#;View#YTD;Value#&lt;Entity Curr Total&gt;;ICP#[ICP None];Custom1#[None];Custom2#[None];Custom3#[None];Custom4#PackageTotal</v>
      </c>
    </row>
    <row r="5" spans="1:11" ht="19.8" customHeight="1">
      <c r="J5" s="18" t="s">
        <v>92</v>
      </c>
      <c r="K5" s="18" t="str">
        <f>";Scenario#Actual;Year#"&amp;$B$4&amp;";Period#"&amp;$D$4&amp;";View#YTD;Value#&lt;Entity Curr Total&gt;;ICP#[ICP Entities];Custom1#[None];Custom2#[None];Custom4#PackageTotal"</f>
        <v>;Scenario#Actual;Year#;Period#;View#YTD;Value#&lt;Entity Curr Total&gt;;ICP#[ICP Entities];Custom1#[None];Custom2#[None];Custom4#PackageTotal</v>
      </c>
    </row>
    <row r="6" spans="1:11" ht="19.8" customHeight="1">
      <c r="A6" s="25" t="s">
        <v>3</v>
      </c>
      <c r="B6" s="72" t="s">
        <v>73</v>
      </c>
      <c r="C6" s="73"/>
      <c r="D6" s="74"/>
      <c r="E6" s="35" t="s">
        <v>93</v>
      </c>
      <c r="F6" s="35" t="s">
        <v>94</v>
      </c>
      <c r="G6" s="35" t="s">
        <v>96</v>
      </c>
      <c r="H6" s="35" t="s">
        <v>97</v>
      </c>
      <c r="I6" s="40"/>
      <c r="J6" s="18" t="s">
        <v>65</v>
      </c>
      <c r="K6" s="18" t="str">
        <f>";Scenario#Actual;Year#"&amp;$B$4&amp;";Period#"&amp;$D$4&amp;";Entity#[None];Account#CLORate;View#YTD;Value#[None];ICP#[ICP None];Custom2#USD;Custom3#[None];Custom4#[None]"</f>
        <v>;Scenario#Actual;Year#;Period#;Entity#[None];Account#CLORate;View#YTD;Value#[None];ICP#[ICP None];Custom2#USD;Custom3#[None];Custom4#[None]</v>
      </c>
    </row>
    <row r="7" spans="1:11" ht="18.600000000000001" customHeight="1">
      <c r="A7" s="24">
        <v>1</v>
      </c>
      <c r="B7" s="64" t="s">
        <v>111</v>
      </c>
      <c r="C7" s="65"/>
      <c r="D7" s="66"/>
      <c r="E7" s="37" t="s">
        <v>118</v>
      </c>
      <c r="F7" s="34" t="s">
        <v>115</v>
      </c>
      <c r="G7" s="37" t="s">
        <v>95</v>
      </c>
      <c r="H7" s="37" t="s">
        <v>95</v>
      </c>
      <c r="I7" s="39"/>
      <c r="J7" s="18" t="s">
        <v>64</v>
      </c>
      <c r="K7" s="18" t="str">
        <f>";Scenario#Actual;Year#"&amp;$B$4&amp;";Period#"&amp;$D$4&amp;";Entity#[None];Account#AVGRate;View#YTD;Value#[None];ICP#[ICP None];Custom2#USD;Custom3#[None];Custom4#[None]"</f>
        <v>;Scenario#Actual;Year#;Period#;Entity#[None];Account#AVGRate;View#YTD;Value#[None];ICP#[ICP None];Custom2#USD;Custom3#[None];Custom4#[None]</v>
      </c>
    </row>
    <row r="8" spans="1:11" ht="18.600000000000001" customHeight="1">
      <c r="A8" s="24">
        <v>2</v>
      </c>
      <c r="B8" s="64" t="s">
        <v>112</v>
      </c>
      <c r="C8" s="65"/>
      <c r="D8" s="66"/>
      <c r="E8" s="37" t="s">
        <v>118</v>
      </c>
      <c r="F8" s="34" t="s">
        <v>116</v>
      </c>
      <c r="G8" s="37" t="s">
        <v>95</v>
      </c>
      <c r="H8" s="37" t="s">
        <v>95</v>
      </c>
      <c r="I8" s="39"/>
      <c r="J8" s="18" t="s">
        <v>102</v>
      </c>
      <c r="K8" s="18" t="str">
        <f>"Scenario#Actual;Year#"&amp;$B$4&amp;";Period#"&amp;$D$4&amp;";Entity#[None];Account#CLORate;View#YTD;Value#[None];ICP#[ICP None];Custom1#USD;Custom2#NTD;Custom3#[None];Custom4#[None]"</f>
        <v>Scenario#Actual;Year#;Period#;Entity#[None];Account#CLORate;View#YTD;Value#[None];ICP#[ICP None];Custom1#USD;Custom2#NTD;Custom3#[None];Custom4#[None]</v>
      </c>
    </row>
    <row r="9" spans="1:11" ht="18.600000000000001" customHeight="1">
      <c r="A9" s="24">
        <v>3</v>
      </c>
      <c r="B9" s="64" t="s">
        <v>113</v>
      </c>
      <c r="C9" s="65"/>
      <c r="D9" s="66"/>
      <c r="E9" s="37" t="s">
        <v>118</v>
      </c>
      <c r="F9" s="34" t="s">
        <v>117</v>
      </c>
      <c r="G9" s="37" t="s">
        <v>95</v>
      </c>
      <c r="H9" s="37" t="s">
        <v>95</v>
      </c>
      <c r="I9" s="39"/>
      <c r="J9" s="18" t="s">
        <v>103</v>
      </c>
      <c r="K9" s="18" t="str">
        <f>"Scenario#Actual;Year#"&amp;$B$4&amp;";Period#"&amp;$D$4&amp;";Entity#[None];Account#AVGRate;View#YTD;Value#[None];ICP#[ICP None];Custom1#USD;Custom2#NTD;Custom3#[None];Custom4#[None]"</f>
        <v>Scenario#Actual;Year#;Period#;Entity#[None];Account#AVGRate;View#YTD;Value#[None];ICP#[ICP None];Custom1#USD;Custom2#NTD;Custom3#[None];Custom4#[None]</v>
      </c>
    </row>
    <row r="10" spans="1:11" ht="18.600000000000001" customHeight="1">
      <c r="A10" s="24">
        <v>4</v>
      </c>
      <c r="B10" s="64" t="s">
        <v>114</v>
      </c>
      <c r="C10" s="65"/>
      <c r="D10" s="66"/>
      <c r="E10" s="37" t="s">
        <v>95</v>
      </c>
      <c r="F10" s="38"/>
      <c r="G10" s="37" t="s">
        <v>95</v>
      </c>
      <c r="H10" s="37" t="s">
        <v>95</v>
      </c>
      <c r="I10" s="39"/>
      <c r="J10" s="1" t="s">
        <v>98</v>
      </c>
      <c r="K10" s="18" t="str">
        <f>";Scenario#Actual;Year#"&amp;$B$4&amp;";Period#"&amp;$D$4&amp;";View#YTD;Value#&lt;Entity Currency&gt;;ICP#[ICP Entities];Custom1#[None];Custom2#[None];Custom3#[None];Custom4#[None]"</f>
        <v>;Scenario#Actual;Year#;Period#;View#YTD;Value#&lt;Entity Currency&gt;;ICP#[ICP Entities];Custom1#[None];Custom2#[None];Custom3#[None];Custom4#[None]</v>
      </c>
    </row>
    <row r="11" spans="1:11" ht="18.600000000000001" hidden="1" customHeight="1">
      <c r="A11" s="24">
        <v>5</v>
      </c>
      <c r="B11" s="64" t="s">
        <v>211</v>
      </c>
      <c r="C11" s="65"/>
      <c r="D11" s="66"/>
      <c r="E11" s="37" t="s">
        <v>95</v>
      </c>
      <c r="F11" s="38"/>
      <c r="G11" s="37" t="s">
        <v>118</v>
      </c>
      <c r="H11" s="37" t="s">
        <v>118</v>
      </c>
      <c r="I11" s="39"/>
    </row>
    <row r="12" spans="1:11" ht="18.600000000000001" customHeight="1">
      <c r="I12" s="39"/>
    </row>
    <row r="13" spans="1:11" ht="18.600000000000001" customHeight="1">
      <c r="I13" s="39"/>
    </row>
    <row r="14" spans="1:11" ht="18.600000000000001" customHeight="1">
      <c r="I14" s="39"/>
    </row>
    <row r="15" spans="1:11" ht="18.600000000000001" customHeight="1">
      <c r="I15" s="39"/>
    </row>
    <row r="16" spans="1:11" ht="18.600000000000001" customHeight="1">
      <c r="I16" s="39"/>
    </row>
    <row r="17" spans="9:9" ht="18.600000000000001" customHeight="1">
      <c r="I17" s="39"/>
    </row>
    <row r="18" spans="9:9" ht="18.600000000000001" customHeight="1">
      <c r="I18" s="39"/>
    </row>
    <row r="19" spans="9:9" ht="18.600000000000001" customHeight="1">
      <c r="I19" s="39"/>
    </row>
    <row r="20" spans="9:9" ht="18.600000000000001" customHeight="1">
      <c r="I20" s="39"/>
    </row>
    <row r="21" spans="9:9" ht="18.600000000000001" customHeight="1">
      <c r="I21" s="39"/>
    </row>
    <row r="22" spans="9:9" ht="18.600000000000001" customHeight="1">
      <c r="I22" s="39"/>
    </row>
    <row r="23" spans="9:9" ht="18.600000000000001" customHeight="1">
      <c r="I23" s="39"/>
    </row>
    <row r="24" spans="9:9" ht="18.600000000000001" customHeight="1">
      <c r="I24" s="39"/>
    </row>
    <row r="25" spans="9:9" ht="18.600000000000001" customHeight="1">
      <c r="I25" s="39"/>
    </row>
    <row r="26" spans="9:9" ht="18.600000000000001" customHeight="1">
      <c r="I26" s="39"/>
    </row>
    <row r="27" spans="9:9" ht="18.600000000000001" customHeight="1">
      <c r="I27" s="39"/>
    </row>
    <row r="28" spans="9:9" ht="18.600000000000001" customHeight="1">
      <c r="I28" s="39"/>
    </row>
    <row r="29" spans="9:9" ht="18.600000000000001" customHeight="1">
      <c r="I29" s="39"/>
    </row>
    <row r="30" spans="9:9" ht="18.600000000000001" customHeight="1">
      <c r="I30" s="39"/>
    </row>
    <row r="31" spans="9:9" ht="18.600000000000001" customHeight="1">
      <c r="I31" s="39"/>
    </row>
    <row r="32" spans="9:9" ht="18.600000000000001" customHeight="1">
      <c r="I32" s="39"/>
    </row>
    <row r="33" spans="9:9" ht="18.600000000000001" customHeight="1">
      <c r="I33" s="39"/>
    </row>
    <row r="34" spans="9:9" ht="18.600000000000001" customHeight="1">
      <c r="I34" s="39"/>
    </row>
    <row r="35" spans="9:9" ht="18.600000000000001" customHeight="1">
      <c r="I35" s="39"/>
    </row>
    <row r="36" spans="9:9" ht="18.600000000000001" customHeight="1">
      <c r="I36" s="39"/>
    </row>
    <row r="37" spans="9:9" ht="18.600000000000001" customHeight="1">
      <c r="I37" s="39"/>
    </row>
    <row r="38" spans="9:9" ht="18.600000000000001" customHeight="1">
      <c r="I38" s="39"/>
    </row>
    <row r="39" spans="9:9" ht="18.600000000000001" customHeight="1">
      <c r="I39" s="39"/>
    </row>
    <row r="40" spans="9:9" ht="18.600000000000001" customHeight="1">
      <c r="I40" s="39"/>
    </row>
    <row r="41" spans="9:9" ht="18.600000000000001" customHeight="1">
      <c r="I41" s="39"/>
    </row>
    <row r="42" spans="9:9" ht="18.600000000000001" customHeight="1">
      <c r="I42" s="39"/>
    </row>
    <row r="43" spans="9:9" ht="18.600000000000001" customHeight="1">
      <c r="I43" s="39"/>
    </row>
    <row r="44" spans="9:9" ht="18.600000000000001" customHeight="1">
      <c r="I44" s="39"/>
    </row>
    <row r="45" spans="9:9" ht="18.600000000000001" customHeight="1">
      <c r="I45" s="39"/>
    </row>
    <row r="46" spans="9:9" ht="18.600000000000001" customHeight="1">
      <c r="I46" s="39"/>
    </row>
    <row r="47" spans="9:9" ht="18.600000000000001" customHeight="1">
      <c r="I47" s="39"/>
    </row>
    <row r="48" spans="9:9" ht="18.600000000000001" customHeight="1">
      <c r="I48" s="39"/>
    </row>
    <row r="49" spans="9:9" ht="18.600000000000001" customHeight="1">
      <c r="I49" s="39"/>
    </row>
    <row r="50" spans="9:9" ht="18.600000000000001" customHeight="1">
      <c r="I50" s="39"/>
    </row>
    <row r="51" spans="9:9" ht="18.600000000000001" customHeight="1">
      <c r="I51" s="39"/>
    </row>
    <row r="52" spans="9:9" ht="18.600000000000001" customHeight="1">
      <c r="I52" s="39"/>
    </row>
    <row r="53" spans="9:9" ht="18.600000000000001" customHeight="1">
      <c r="I53" s="39"/>
    </row>
    <row r="54" spans="9:9" ht="18.600000000000001" customHeight="1">
      <c r="I54" s="39"/>
    </row>
    <row r="55" spans="9:9" ht="18.600000000000001" customHeight="1">
      <c r="I55" s="39"/>
    </row>
    <row r="56" spans="9:9" ht="18.600000000000001" customHeight="1">
      <c r="I56" s="39"/>
    </row>
    <row r="57" spans="9:9" ht="18.600000000000001" customHeight="1">
      <c r="I57" s="39"/>
    </row>
    <row r="58" spans="9:9" ht="18.600000000000001" customHeight="1">
      <c r="I58" s="39"/>
    </row>
    <row r="59" spans="9:9" ht="18.600000000000001" customHeight="1">
      <c r="I59" s="39"/>
    </row>
    <row r="60" spans="9:9" ht="18.600000000000001" customHeight="1">
      <c r="I60" s="39"/>
    </row>
    <row r="61" spans="9:9" ht="18.600000000000001" customHeight="1">
      <c r="I61" s="39"/>
    </row>
  </sheetData>
  <sheetProtection algorithmName="SHA-512" hashValue="MywBXpTEoLSo+yjHuTi/i/g6t5c/4x8Xrxv3QjONM0/N1kEwrO7hpqogavYUBi18IXEl29JlzXFPRjJLmXITcw==" saltValue="VN+qkmx7b+ikSxQVogJJ9A==" spinCount="100000" sheet="1" objects="1" scenarios="1"/>
  <mergeCells count="9">
    <mergeCell ref="B11:D11"/>
    <mergeCell ref="B10:D10"/>
    <mergeCell ref="B3:D3"/>
    <mergeCell ref="A2:D2"/>
    <mergeCell ref="A1:D1"/>
    <mergeCell ref="B6:D6"/>
    <mergeCell ref="B7:D7"/>
    <mergeCell ref="B8:D8"/>
    <mergeCell ref="B9:D9"/>
  </mergeCells>
  <dataValidations count="2">
    <dataValidation type="list" allowBlank="1" showInputMessage="1" showErrorMessage="1" sqref="B4">
      <formula1>"2017,2018,2019,2020,2021,2022,2023,2024,2025,2026,2027,2028,2029,2030"</formula1>
    </dataValidation>
    <dataValidation type="list" allowBlank="1" showInputMessage="1" showErrorMessage="1" sqref="D4">
      <formula1>"JAN,FEB,MAR,APR,MAY,JUN,JUL,AUG,SEP,OCT,NOV,DEC"</formula1>
    </dataValidation>
  </dataValidations>
  <pageMargins left="0.75" right="0.75" top="1" bottom="1" header="0.5" footer="0.5"/>
  <headerFooter alignWithMargins="0"/>
  <customProperties>
    <customPr name="SheetOptions" r:id="rId1"/>
    <customPr name="WORKBKFUNCTIONCACHE" r:id="rId2"/>
  </customProperties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M1"/>
  <sheetViews>
    <sheetView zoomScaleNormal="100" workbookViewId="0">
      <pane ySplit="1" topLeftCell="A2" activePane="bottomLeft" state="frozen"/>
      <selection activeCell="F16" sqref="F16"/>
      <selection pane="bottomLeft" activeCell="H16" sqref="H16"/>
    </sheetView>
  </sheetViews>
  <sheetFormatPr defaultRowHeight="13.2"/>
  <cols>
    <col min="1" max="2" width="5" style="6" bestFit="1" customWidth="1"/>
    <col min="3" max="6" width="9" style="6" bestFit="1" customWidth="1"/>
    <col min="7" max="7" width="43.109375" style="6" bestFit="1" customWidth="1"/>
    <col min="8" max="8" width="9.77734375" style="6" bestFit="1" customWidth="1"/>
    <col min="9" max="10" width="9" style="6" bestFit="1" customWidth="1"/>
    <col min="11" max="11" width="13.109375" style="51" bestFit="1" customWidth="1"/>
    <col min="12" max="12" width="9" style="51" bestFit="1" customWidth="1"/>
    <col min="13" max="13" width="13.109375" style="52" bestFit="1" customWidth="1"/>
    <col min="14" max="14" width="9" style="52" bestFit="1" customWidth="1"/>
    <col min="15" max="15" width="9" style="6" bestFit="1" customWidth="1"/>
    <col min="16" max="16" width="24.88671875" style="6" bestFit="1" customWidth="1"/>
    <col min="17" max="17" width="26.88671875" style="53" bestFit="1" customWidth="1"/>
    <col min="18" max="18" width="23.33203125" style="53" bestFit="1" customWidth="1"/>
    <col min="19" max="19" width="21.109375" style="53" bestFit="1" customWidth="1"/>
    <col min="20" max="20" width="28.33203125" style="53" bestFit="1" customWidth="1"/>
    <col min="21" max="21" width="28.44140625" style="53" bestFit="1" customWidth="1"/>
    <col min="22" max="22" width="26.88671875" style="53" bestFit="1" customWidth="1"/>
    <col min="23" max="23" width="27.77734375" style="53" bestFit="1" customWidth="1"/>
    <col min="24" max="24" width="30.109375" style="53" bestFit="1" customWidth="1"/>
    <col min="25" max="25" width="30.44140625" style="53" bestFit="1" customWidth="1"/>
    <col min="26" max="26" width="31.5546875" style="53" bestFit="1" customWidth="1"/>
    <col min="27" max="27" width="22.77734375" style="53" bestFit="1" customWidth="1"/>
    <col min="28" max="28" width="24.77734375" style="53" bestFit="1" customWidth="1"/>
    <col min="29" max="29" width="30" style="53" bestFit="1" customWidth="1"/>
    <col min="30" max="31" width="28.44140625" style="53" bestFit="1" customWidth="1"/>
    <col min="32" max="32" width="29.33203125" style="53" bestFit="1" customWidth="1"/>
    <col min="33" max="33" width="26.109375" style="53" bestFit="1" customWidth="1"/>
    <col min="34" max="34" width="26.44140625" style="53" bestFit="1" customWidth="1"/>
    <col min="35" max="35" width="27.88671875" style="53" bestFit="1" customWidth="1"/>
    <col min="36" max="36" width="25.109375" style="53" customWidth="1"/>
    <col min="37" max="37" width="9" style="6" bestFit="1" customWidth="1"/>
    <col min="38" max="39" width="23.33203125" style="6" bestFit="1" customWidth="1"/>
    <col min="40" max="16384" width="8.88671875" style="1"/>
  </cols>
  <sheetData>
    <row r="1" spans="1:39" s="50" customFormat="1">
      <c r="A1" s="45" t="s">
        <v>1</v>
      </c>
      <c r="B1" s="45" t="s">
        <v>2</v>
      </c>
      <c r="C1" s="45" t="s">
        <v>99</v>
      </c>
      <c r="D1" s="45" t="s">
        <v>100</v>
      </c>
      <c r="E1" s="45" t="s">
        <v>119</v>
      </c>
      <c r="F1" s="45" t="s">
        <v>120</v>
      </c>
      <c r="G1" s="45" t="s">
        <v>121</v>
      </c>
      <c r="H1" s="45" t="s">
        <v>58</v>
      </c>
      <c r="I1" s="45" t="s">
        <v>122</v>
      </c>
      <c r="J1" s="45" t="s">
        <v>74</v>
      </c>
      <c r="K1" s="46" t="s">
        <v>123</v>
      </c>
      <c r="L1" s="46" t="s">
        <v>101</v>
      </c>
      <c r="M1" s="47" t="s">
        <v>124</v>
      </c>
      <c r="N1" s="47" t="s">
        <v>53</v>
      </c>
      <c r="O1" s="45" t="s">
        <v>125</v>
      </c>
      <c r="P1" s="45" t="s">
        <v>126</v>
      </c>
      <c r="Q1" s="45" t="s">
        <v>127</v>
      </c>
      <c r="R1" s="45" t="s">
        <v>54</v>
      </c>
      <c r="S1" s="48" t="s">
        <v>128</v>
      </c>
      <c r="T1" s="48" t="s">
        <v>129</v>
      </c>
      <c r="U1" s="48" t="s">
        <v>130</v>
      </c>
      <c r="V1" s="48" t="s">
        <v>131</v>
      </c>
      <c r="W1" s="48" t="s">
        <v>132</v>
      </c>
      <c r="X1" s="48" t="s">
        <v>133</v>
      </c>
      <c r="Y1" s="48" t="s">
        <v>134</v>
      </c>
      <c r="Z1" s="48" t="s">
        <v>135</v>
      </c>
      <c r="AA1" s="49" t="s">
        <v>136</v>
      </c>
      <c r="AB1" s="49" t="s">
        <v>137</v>
      </c>
      <c r="AC1" s="49" t="s">
        <v>138</v>
      </c>
      <c r="AD1" s="49" t="s">
        <v>139</v>
      </c>
      <c r="AE1" s="49" t="s">
        <v>140</v>
      </c>
      <c r="AF1" s="49" t="s">
        <v>141</v>
      </c>
      <c r="AG1" s="49" t="s">
        <v>142</v>
      </c>
      <c r="AH1" s="49" t="s">
        <v>143</v>
      </c>
      <c r="AI1" s="49" t="s">
        <v>144</v>
      </c>
      <c r="AJ1" s="45" t="s">
        <v>145</v>
      </c>
      <c r="AK1" s="45" t="s">
        <v>55</v>
      </c>
      <c r="AL1" s="45" t="s">
        <v>146</v>
      </c>
      <c r="AM1" s="45" t="s">
        <v>147</v>
      </c>
    </row>
  </sheetData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D1:O1"/>
  <sheetViews>
    <sheetView topLeftCell="D1" zoomScaleNormal="100" workbookViewId="0">
      <selection activeCell="F16" sqref="F16"/>
    </sheetView>
  </sheetViews>
  <sheetFormatPr defaultRowHeight="13.2"/>
  <cols>
    <col min="1" max="3" width="0" style="1" hidden="1" customWidth="1"/>
    <col min="4" max="4" width="17.21875" style="1" customWidth="1"/>
    <col min="5" max="5" width="15.109375" style="3" customWidth="1"/>
    <col min="6" max="6" width="15.109375" style="1" customWidth="1"/>
    <col min="7" max="7" width="19.6640625" style="3" customWidth="1"/>
    <col min="8" max="10" width="15.109375" style="3" customWidth="1"/>
    <col min="11" max="11" width="16.109375" style="3" bestFit="1" customWidth="1"/>
    <col min="12" max="14" width="15.109375" style="3" customWidth="1"/>
    <col min="15" max="15" width="16.109375" style="1" bestFit="1" customWidth="1"/>
    <col min="16" max="16384" width="8.88671875" style="1"/>
  </cols>
  <sheetData>
    <row r="1" spans="4:15" s="56" customFormat="1">
      <c r="D1" s="7" t="s">
        <v>148</v>
      </c>
      <c r="E1" s="54" t="s">
        <v>75</v>
      </c>
      <c r="F1" s="55" t="s">
        <v>76</v>
      </c>
      <c r="G1" s="4" t="s">
        <v>77</v>
      </c>
      <c r="H1" s="4" t="s">
        <v>78</v>
      </c>
      <c r="I1" s="4" t="s">
        <v>79</v>
      </c>
      <c r="J1" s="4" t="s">
        <v>80</v>
      </c>
      <c r="K1" s="4" t="s">
        <v>81</v>
      </c>
      <c r="L1" s="4" t="s">
        <v>82</v>
      </c>
      <c r="M1" s="4" t="s">
        <v>83</v>
      </c>
      <c r="N1" s="4" t="s">
        <v>84</v>
      </c>
      <c r="O1" s="4" t="s">
        <v>149</v>
      </c>
    </row>
  </sheetData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M1"/>
  <sheetViews>
    <sheetView workbookViewId="0">
      <pane ySplit="1" topLeftCell="A2" activePane="bottomLeft" state="frozen"/>
      <selection activeCell="F16" sqref="F16"/>
      <selection pane="bottomLeft" activeCell="F16" sqref="F16"/>
    </sheetView>
  </sheetViews>
  <sheetFormatPr defaultRowHeight="13.2"/>
  <cols>
    <col min="1" max="1" width="16.5546875" style="1" hidden="1" customWidth="1"/>
    <col min="2" max="2" width="16.5546875" style="5" hidden="1" customWidth="1"/>
    <col min="3" max="3" width="16.77734375" style="9" hidden="1" customWidth="1"/>
    <col min="4" max="4" width="15.33203125" style="9" bestFit="1" customWidth="1"/>
    <col min="5" max="5" width="15.33203125" style="9" hidden="1" customWidth="1"/>
    <col min="6" max="6" width="13.5546875" style="9" bestFit="1" customWidth="1"/>
    <col min="7" max="7" width="16.77734375" style="9" bestFit="1" customWidth="1"/>
    <col min="8" max="9" width="15.33203125" style="9" bestFit="1" customWidth="1"/>
    <col min="10" max="10" width="16.21875" style="1" bestFit="1" customWidth="1"/>
    <col min="11" max="11" width="13.44140625" style="1" bestFit="1" customWidth="1"/>
    <col min="12" max="12" width="13.33203125" style="1" bestFit="1" customWidth="1"/>
    <col min="13" max="13" width="14.77734375" style="1" bestFit="1" customWidth="1"/>
    <col min="14" max="16384" width="8.88671875" style="1"/>
  </cols>
  <sheetData>
    <row r="1" spans="2:13">
      <c r="B1" s="1"/>
      <c r="C1" s="1"/>
      <c r="D1" s="7" t="s">
        <v>52</v>
      </c>
      <c r="E1" s="7"/>
      <c r="F1" s="8" t="s">
        <v>150</v>
      </c>
      <c r="G1" s="4" t="s">
        <v>77</v>
      </c>
      <c r="H1" s="4" t="s">
        <v>79</v>
      </c>
      <c r="I1" s="4" t="s">
        <v>80</v>
      </c>
      <c r="J1" s="4" t="s">
        <v>81</v>
      </c>
      <c r="K1" s="4" t="s">
        <v>82</v>
      </c>
      <c r="L1" s="4" t="s">
        <v>83</v>
      </c>
      <c r="M1" s="4" t="s">
        <v>84</v>
      </c>
    </row>
  </sheetData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outlinePr summaryBelow="0"/>
  </sheetPr>
  <dimension ref="A1:AV119"/>
  <sheetViews>
    <sheetView zoomScaleNormal="100" workbookViewId="0">
      <pane xSplit="2" ySplit="3" topLeftCell="C4" activePane="bottomRight" state="frozen"/>
      <selection activeCell="F16" sqref="F16"/>
      <selection pane="topRight" activeCell="F16" sqref="F16"/>
      <selection pane="bottomLeft" activeCell="F16" sqref="F16"/>
      <selection pane="bottomRight" activeCell="D26" sqref="D26"/>
    </sheetView>
  </sheetViews>
  <sheetFormatPr defaultRowHeight="12" customHeight="1"/>
  <cols>
    <col min="1" max="1" width="12.6640625" style="17" hidden="1" customWidth="1"/>
    <col min="2" max="2" width="27.88671875" style="11" bestFit="1" customWidth="1"/>
    <col min="3" max="3" width="35.21875" style="11" bestFit="1" customWidth="1"/>
    <col min="4" max="4" width="45.5546875" style="11" bestFit="1" customWidth="1"/>
    <col min="5" max="5" width="17.33203125" style="11" bestFit="1" customWidth="1"/>
    <col min="6" max="6" width="47.6640625" style="11" bestFit="1" customWidth="1"/>
    <col min="7" max="7" width="44" style="11" bestFit="1" customWidth="1"/>
    <col min="8" max="8" width="50.6640625" style="11" bestFit="1" customWidth="1"/>
    <col min="9" max="9" width="18.21875" style="11" bestFit="1" customWidth="1"/>
    <col min="10" max="10" width="20.77734375" style="11" bestFit="1" customWidth="1"/>
    <col min="11" max="11" width="33.21875" style="11" bestFit="1" customWidth="1"/>
    <col min="12" max="12" width="31.21875" style="11" bestFit="1" customWidth="1"/>
    <col min="13" max="13" width="23.21875" style="11" bestFit="1" customWidth="1"/>
    <col min="14" max="14" width="29.21875" style="11" bestFit="1" customWidth="1"/>
    <col min="15" max="16" width="25.44140625" style="11" bestFit="1" customWidth="1"/>
    <col min="17" max="18" width="24" style="11" bestFit="1" customWidth="1"/>
    <col min="19" max="19" width="20.109375" style="11" bestFit="1" customWidth="1"/>
    <col min="20" max="20" width="22.109375" style="11" bestFit="1" customWidth="1"/>
    <col min="21" max="21" width="27.33203125" style="11" bestFit="1" customWidth="1"/>
    <col min="22" max="22" width="25.44140625" style="11" bestFit="1" customWidth="1"/>
    <col min="23" max="23" width="27.21875" style="11" bestFit="1" customWidth="1"/>
    <col min="24" max="25" width="27.88671875" style="11" bestFit="1" customWidth="1"/>
    <col min="26" max="26" width="25.44140625" style="11" bestFit="1" customWidth="1"/>
    <col min="27" max="27" width="20.109375" style="11" bestFit="1" customWidth="1"/>
    <col min="28" max="28" width="25.44140625" style="11" bestFit="1" customWidth="1"/>
    <col min="29" max="30" width="24" style="11" bestFit="1" customWidth="1"/>
    <col min="31" max="31" width="22.109375" style="11" bestFit="1" customWidth="1"/>
    <col min="32" max="32" width="40.33203125" style="11" bestFit="1" customWidth="1"/>
    <col min="33" max="33" width="33.77734375" style="11" bestFit="1" customWidth="1"/>
    <col min="34" max="34" width="37" style="11" bestFit="1" customWidth="1"/>
    <col min="35" max="35" width="55.6640625" style="11" bestFit="1" customWidth="1"/>
    <col min="36" max="36" width="50.88671875" style="11" bestFit="1" customWidth="1"/>
    <col min="37" max="37" width="27.5546875" style="11" bestFit="1" customWidth="1"/>
    <col min="38" max="38" width="41.5546875" style="11" bestFit="1" customWidth="1"/>
    <col min="39" max="39" width="42.109375" style="11" bestFit="1" customWidth="1"/>
    <col min="40" max="40" width="24" style="11" bestFit="1" customWidth="1"/>
    <col min="41" max="41" width="29" style="11" bestFit="1" customWidth="1"/>
    <col min="42" max="42" width="24" style="11" bestFit="1" customWidth="1"/>
    <col min="43" max="43" width="25.5546875" style="11" bestFit="1" customWidth="1"/>
    <col min="44" max="44" width="20.33203125" style="11" bestFit="1" customWidth="1"/>
    <col min="45" max="45" width="13.44140625" style="11" bestFit="1" customWidth="1"/>
    <col min="46" max="46" width="8.5546875" style="11" bestFit="1" customWidth="1"/>
    <col min="47" max="47" width="13.44140625" style="11" bestFit="1" customWidth="1"/>
    <col min="48" max="48" width="8.5546875" style="11" bestFit="1" customWidth="1"/>
    <col min="49" max="16384" width="8.88671875" style="12"/>
  </cols>
  <sheetData>
    <row r="1" spans="1:48" s="15" customFormat="1" ht="12" customHeight="1">
      <c r="A1" s="17"/>
      <c r="B1" s="28" t="s">
        <v>4</v>
      </c>
      <c r="C1" s="27" t="s">
        <v>212</v>
      </c>
      <c r="D1" s="27" t="s">
        <v>213</v>
      </c>
      <c r="E1" s="27" t="s">
        <v>7</v>
      </c>
      <c r="F1" s="27" t="s">
        <v>8</v>
      </c>
      <c r="G1" s="27" t="s">
        <v>9</v>
      </c>
      <c r="H1" s="27" t="s">
        <v>10</v>
      </c>
      <c r="I1" s="27" t="s">
        <v>11</v>
      </c>
      <c r="J1" s="27" t="s">
        <v>12</v>
      </c>
      <c r="K1" s="27" t="s">
        <v>13</v>
      </c>
      <c r="L1" s="27" t="s">
        <v>14</v>
      </c>
      <c r="M1" s="27" t="s">
        <v>15</v>
      </c>
      <c r="N1" s="27" t="s">
        <v>16</v>
      </c>
      <c r="O1" s="27" t="s">
        <v>17</v>
      </c>
      <c r="P1" s="27" t="s">
        <v>18</v>
      </c>
      <c r="Q1" s="27" t="s">
        <v>19</v>
      </c>
      <c r="R1" s="27" t="s">
        <v>20</v>
      </c>
      <c r="S1" s="27" t="s">
        <v>21</v>
      </c>
      <c r="T1" s="27" t="s">
        <v>22</v>
      </c>
      <c r="U1" s="27" t="s">
        <v>23</v>
      </c>
      <c r="V1" s="27" t="s">
        <v>24</v>
      </c>
      <c r="W1" s="27" t="s">
        <v>25</v>
      </c>
      <c r="X1" s="27" t="s">
        <v>26</v>
      </c>
      <c r="Y1" s="27" t="s">
        <v>27</v>
      </c>
      <c r="Z1" s="27" t="s">
        <v>28</v>
      </c>
      <c r="AA1" s="27" t="s">
        <v>29</v>
      </c>
      <c r="AB1" s="27" t="s">
        <v>30</v>
      </c>
      <c r="AC1" s="27" t="s">
        <v>31</v>
      </c>
      <c r="AD1" s="27" t="s">
        <v>32</v>
      </c>
      <c r="AE1" s="27" t="s">
        <v>33</v>
      </c>
      <c r="AF1" s="27" t="s">
        <v>34</v>
      </c>
      <c r="AG1" s="27" t="s">
        <v>35</v>
      </c>
      <c r="AH1" s="27" t="s">
        <v>36</v>
      </c>
      <c r="AI1" s="27" t="s">
        <v>37</v>
      </c>
      <c r="AJ1" s="27" t="s">
        <v>38</v>
      </c>
      <c r="AK1" s="27" t="s">
        <v>39</v>
      </c>
      <c r="AL1" s="27" t="s">
        <v>40</v>
      </c>
      <c r="AM1" s="27" t="s">
        <v>41</v>
      </c>
      <c r="AN1" s="27" t="s">
        <v>42</v>
      </c>
      <c r="AO1" s="27" t="s">
        <v>43</v>
      </c>
      <c r="AP1" s="27" t="s">
        <v>44</v>
      </c>
      <c r="AQ1" s="27" t="s">
        <v>45</v>
      </c>
      <c r="AR1" s="27" t="s">
        <v>214</v>
      </c>
      <c r="AS1" s="27"/>
      <c r="AT1" s="27"/>
      <c r="AU1" s="27"/>
      <c r="AV1" s="27"/>
    </row>
    <row r="2" spans="1:48" s="15" customFormat="1" ht="12" customHeight="1">
      <c r="A2" s="17"/>
      <c r="B2" s="28" t="s">
        <v>5</v>
      </c>
      <c r="C2" s="27" t="str">
        <f>[1]!HsDescription(conn,"Entity#"&amp;C1)</f>
        <v>#NEED_REFRESH</v>
      </c>
      <c r="D2" s="27" t="str">
        <f>[1]!HsDescription(conn,"Entity#"&amp;D1)</f>
        <v>#NEED_REFRESH</v>
      </c>
      <c r="E2" s="27" t="str">
        <f>[1]!HsDescription(conn,"Entity#"&amp;E1)</f>
        <v>#NEED_REFRESH</v>
      </c>
      <c r="F2" s="27" t="str">
        <f>[1]!HsDescription(conn,"Entity#"&amp;F1)</f>
        <v>#NEED_REFRESH</v>
      </c>
      <c r="G2" s="27" t="str">
        <f>[1]!HsDescription(conn,"Entity#"&amp;G1)</f>
        <v>#NEED_REFRESH</v>
      </c>
      <c r="H2" s="27" t="str">
        <f>[1]!HsDescription(conn,"Entity#"&amp;H1)</f>
        <v>#NEED_REFRESH</v>
      </c>
      <c r="I2" s="27" t="str">
        <f>[1]!HsDescription(conn,"Entity#"&amp;I1)</f>
        <v>#NEED_REFRESH</v>
      </c>
      <c r="J2" s="27" t="str">
        <f>[1]!HsDescription(conn,"Entity#"&amp;J1)</f>
        <v>#NEED_REFRESH</v>
      </c>
      <c r="K2" s="27" t="str">
        <f>[1]!HsDescription(conn,"Entity#"&amp;K1)</f>
        <v>#NEED_REFRESH</v>
      </c>
      <c r="L2" s="27" t="str">
        <f>[1]!HsDescription(conn,"Entity#"&amp;L1)</f>
        <v>#NEED_REFRESH</v>
      </c>
      <c r="M2" s="27" t="str">
        <f>[1]!HsDescription(conn,"Entity#"&amp;M1)</f>
        <v>#NEED_REFRESH</v>
      </c>
      <c r="N2" s="27" t="str">
        <f>[1]!HsDescription(conn,"Entity#"&amp;N1)</f>
        <v>#NEED_REFRESH</v>
      </c>
      <c r="O2" s="27" t="str">
        <f>[1]!HsDescription(conn,"Entity#"&amp;O1)</f>
        <v>#NEED_REFRESH</v>
      </c>
      <c r="P2" s="27" t="str">
        <f>[1]!HsDescription(conn,"Entity#"&amp;P1)</f>
        <v>#NEED_REFRESH</v>
      </c>
      <c r="Q2" s="27" t="str">
        <f>[1]!HsDescription(conn,"Entity#"&amp;Q1)</f>
        <v>#NEED_REFRESH</v>
      </c>
      <c r="R2" s="27" t="str">
        <f>[1]!HsDescription(conn,"Entity#"&amp;R1)</f>
        <v>#NEED_REFRESH</v>
      </c>
      <c r="S2" s="27" t="str">
        <f>[1]!HsDescription(conn,"Entity#"&amp;S1)</f>
        <v>#NEED_REFRESH</v>
      </c>
      <c r="T2" s="27" t="str">
        <f>[1]!HsDescription(conn,"Entity#"&amp;T1)</f>
        <v>#NEED_REFRESH</v>
      </c>
      <c r="U2" s="27" t="str">
        <f>[1]!HsDescription(conn,"Entity#"&amp;U1)</f>
        <v>#NEED_REFRESH</v>
      </c>
      <c r="V2" s="27" t="str">
        <f>[1]!HsDescription(conn,"Entity#"&amp;V1)</f>
        <v>#NEED_REFRESH</v>
      </c>
      <c r="W2" s="27" t="str">
        <f>[1]!HsDescription(conn,"Entity#"&amp;W1)</f>
        <v>#NEED_REFRESH</v>
      </c>
      <c r="X2" s="27" t="str">
        <f>[1]!HsDescription(conn,"Entity#"&amp;X1)</f>
        <v>#NEED_REFRESH</v>
      </c>
      <c r="Y2" s="27" t="str">
        <f>[1]!HsDescription(conn,"Entity#"&amp;Y1)</f>
        <v>#NEED_REFRESH</v>
      </c>
      <c r="Z2" s="27" t="str">
        <f>[1]!HsDescription(conn,"Entity#"&amp;Z1)</f>
        <v>#NEED_REFRESH</v>
      </c>
      <c r="AA2" s="27" t="str">
        <f>[1]!HsDescription(conn,"Entity#"&amp;AA1)</f>
        <v>#NEED_REFRESH</v>
      </c>
      <c r="AB2" s="27" t="str">
        <f>[1]!HsDescription(conn,"Entity#"&amp;AB1)</f>
        <v>#NEED_REFRESH</v>
      </c>
      <c r="AC2" s="27" t="str">
        <f>[1]!HsDescription(conn,"Entity#"&amp;AC1)</f>
        <v>#NEED_REFRESH</v>
      </c>
      <c r="AD2" s="27" t="str">
        <f>[1]!HsDescription(conn,"Entity#"&amp;AD1)</f>
        <v>#NEED_REFRESH</v>
      </c>
      <c r="AE2" s="27" t="str">
        <f>[1]!HsDescription(conn,"Entity#"&amp;AE1)</f>
        <v>#NEED_REFRESH</v>
      </c>
      <c r="AF2" s="27" t="str">
        <f>[1]!HsDescription(conn,"Entity#"&amp;AF1)</f>
        <v>#NEED_REFRESH</v>
      </c>
      <c r="AG2" s="27" t="str">
        <f>[1]!HsDescription(conn,"Entity#"&amp;AG1)</f>
        <v>#NEED_REFRESH</v>
      </c>
      <c r="AH2" s="27" t="str">
        <f>[1]!HsDescription(conn,"Entity#"&amp;AH1)</f>
        <v>#NEED_REFRESH</v>
      </c>
      <c r="AI2" s="27" t="str">
        <f>[1]!HsDescription(conn,"Entity#"&amp;AI1)</f>
        <v>#NEED_REFRESH</v>
      </c>
      <c r="AJ2" s="27" t="str">
        <f>[1]!HsDescription(conn,"Entity#"&amp;AJ1)</f>
        <v>#NEED_REFRESH</v>
      </c>
      <c r="AK2" s="27" t="str">
        <f>[1]!HsDescription(conn,"Entity#"&amp;AK1)</f>
        <v>#NEED_REFRESH</v>
      </c>
      <c r="AL2" s="27" t="str">
        <f>[1]!HsDescription(conn,"Entity#"&amp;AL1)</f>
        <v>#NEED_REFRESH</v>
      </c>
      <c r="AM2" s="27" t="str">
        <f>[1]!HsDescription(conn,"Entity#"&amp;AM1)</f>
        <v>#NEED_REFRESH</v>
      </c>
      <c r="AN2" s="27" t="str">
        <f>[1]!HsDescription(conn,"Entity#"&amp;AN1)</f>
        <v>#NEED_REFRESH</v>
      </c>
      <c r="AO2" s="27" t="str">
        <f>[1]!HsDescription(conn,"Entity#"&amp;AO1)</f>
        <v>#NEED_REFRESH</v>
      </c>
      <c r="AP2" s="27" t="str">
        <f>[1]!HsDescription(conn,"Entity#"&amp;AP1)</f>
        <v>#NEED_REFRESH</v>
      </c>
      <c r="AQ2" s="27" t="str">
        <f>[1]!HsDescription(conn,"Entity#"&amp;AQ1)</f>
        <v>#NEED_REFRESH</v>
      </c>
      <c r="AR2" s="27" t="str">
        <f>[1]!HsDescription(conn,"Entity#"&amp;AR1)</f>
        <v>#NEED_REFRESH</v>
      </c>
      <c r="AS2" s="27" t="s">
        <v>109</v>
      </c>
      <c r="AT2" s="27" t="s">
        <v>104</v>
      </c>
      <c r="AU2" s="27" t="s">
        <v>51</v>
      </c>
      <c r="AV2" s="27" t="s">
        <v>51</v>
      </c>
    </row>
    <row r="3" spans="1:48" s="15" customFormat="1" ht="12" customHeight="1">
      <c r="A3" s="17"/>
      <c r="B3" s="28" t="s">
        <v>56</v>
      </c>
      <c r="C3" s="27" t="s">
        <v>57</v>
      </c>
      <c r="D3" s="27" t="s">
        <v>61</v>
      </c>
      <c r="E3" s="27" t="s">
        <v>57</v>
      </c>
      <c r="F3" s="27" t="s">
        <v>57</v>
      </c>
      <c r="G3" s="27" t="s">
        <v>66</v>
      </c>
      <c r="H3" s="27" t="s">
        <v>67</v>
      </c>
      <c r="I3" s="27" t="s">
        <v>68</v>
      </c>
      <c r="J3" s="27" t="s">
        <v>69</v>
      </c>
      <c r="K3" s="27" t="s">
        <v>70</v>
      </c>
      <c r="L3" s="27" t="s">
        <v>71</v>
      </c>
      <c r="M3" s="27" t="s">
        <v>57</v>
      </c>
      <c r="N3" s="27" t="s">
        <v>71</v>
      </c>
      <c r="O3" s="27" t="s">
        <v>71</v>
      </c>
      <c r="P3" s="27" t="s">
        <v>71</v>
      </c>
      <c r="Q3" s="27" t="s">
        <v>71</v>
      </c>
      <c r="R3" s="27" t="s">
        <v>71</v>
      </c>
      <c r="S3" s="27" t="s">
        <v>71</v>
      </c>
      <c r="T3" s="27" t="s">
        <v>71</v>
      </c>
      <c r="U3" s="27" t="s">
        <v>71</v>
      </c>
      <c r="V3" s="27" t="s">
        <v>71</v>
      </c>
      <c r="W3" s="27" t="s">
        <v>57</v>
      </c>
      <c r="X3" s="27" t="s">
        <v>71</v>
      </c>
      <c r="Y3" s="27" t="s">
        <v>66</v>
      </c>
      <c r="Z3" s="27" t="s">
        <v>71</v>
      </c>
      <c r="AA3" s="27" t="s">
        <v>71</v>
      </c>
      <c r="AB3" s="27" t="s">
        <v>71</v>
      </c>
      <c r="AC3" s="27" t="s">
        <v>71</v>
      </c>
      <c r="AD3" s="27" t="s">
        <v>71</v>
      </c>
      <c r="AE3" s="27" t="s">
        <v>71</v>
      </c>
      <c r="AF3" s="27" t="s">
        <v>57</v>
      </c>
      <c r="AG3" s="27" t="s">
        <v>57</v>
      </c>
      <c r="AH3" s="27" t="s">
        <v>57</v>
      </c>
      <c r="AI3" s="27" t="s">
        <v>57</v>
      </c>
      <c r="AJ3" s="27" t="s">
        <v>57</v>
      </c>
      <c r="AK3" s="27" t="s">
        <v>72</v>
      </c>
      <c r="AL3" s="27" t="s">
        <v>57</v>
      </c>
      <c r="AM3" s="27" t="s">
        <v>57</v>
      </c>
      <c r="AN3" s="27" t="s">
        <v>61</v>
      </c>
      <c r="AO3" s="27" t="s">
        <v>57</v>
      </c>
      <c r="AP3" s="27" t="s">
        <v>57</v>
      </c>
      <c r="AQ3" s="27" t="s">
        <v>57</v>
      </c>
      <c r="AR3" s="27" t="s">
        <v>57</v>
      </c>
      <c r="AS3" s="27" t="s">
        <v>57</v>
      </c>
      <c r="AT3" s="27" t="s">
        <v>57</v>
      </c>
      <c r="AU3" s="27" t="s">
        <v>57</v>
      </c>
      <c r="AV3" s="27" t="s">
        <v>62</v>
      </c>
    </row>
    <row r="4" spans="1:48" s="10" customFormat="1" ht="12" customHeight="1">
      <c r="A4" s="17"/>
      <c r="B4" s="75" t="s">
        <v>151</v>
      </c>
      <c r="C4" s="76"/>
      <c r="D4" s="76"/>
      <c r="E4" s="76"/>
      <c r="F4" s="76"/>
      <c r="G4" s="76"/>
      <c r="H4" s="76"/>
      <c r="I4" s="76"/>
      <c r="J4" s="76"/>
      <c r="K4" s="76"/>
      <c r="L4" s="76"/>
      <c r="M4" s="76"/>
      <c r="N4" s="76"/>
      <c r="O4" s="76"/>
      <c r="P4" s="76"/>
      <c r="Q4" s="76"/>
      <c r="R4" s="76"/>
      <c r="S4" s="76"/>
      <c r="T4" s="76"/>
      <c r="U4" s="76"/>
      <c r="V4" s="76"/>
      <c r="W4" s="76"/>
      <c r="X4" s="76"/>
      <c r="Y4" s="76"/>
      <c r="Z4" s="76"/>
      <c r="AA4" s="76"/>
      <c r="AB4" s="76"/>
      <c r="AC4" s="76"/>
      <c r="AD4" s="76"/>
      <c r="AE4" s="76"/>
      <c r="AF4" s="76"/>
      <c r="AG4" s="76"/>
      <c r="AH4" s="76"/>
      <c r="AI4" s="76"/>
      <c r="AJ4" s="76"/>
      <c r="AK4" s="76"/>
      <c r="AL4" s="76"/>
      <c r="AM4" s="76"/>
      <c r="AN4" s="76"/>
      <c r="AO4" s="76"/>
      <c r="AP4" s="76"/>
      <c r="AQ4" s="76"/>
      <c r="AR4" s="76"/>
      <c r="AS4" s="76"/>
      <c r="AT4" s="76"/>
      <c r="AU4" s="76"/>
      <c r="AV4" s="77"/>
    </row>
    <row r="5" spans="1:48" s="10" customFormat="1" ht="11.4">
      <c r="A5" s="17"/>
      <c r="B5" s="44" t="s">
        <v>108</v>
      </c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  <c r="AK5" s="19"/>
      <c r="AL5" s="19"/>
      <c r="AM5" s="19"/>
      <c r="AN5" s="19"/>
      <c r="AO5" s="19"/>
      <c r="AP5" s="19"/>
      <c r="AQ5" s="19"/>
      <c r="AR5" s="19"/>
      <c r="AS5" s="19"/>
      <c r="AT5" s="19"/>
      <c r="AU5" s="20"/>
      <c r="AV5" s="20"/>
    </row>
    <row r="6" spans="1:48" s="10" customFormat="1" ht="11.4">
      <c r="A6" s="17" t="s">
        <v>152</v>
      </c>
      <c r="B6" s="16" t="s">
        <v>153</v>
      </c>
      <c r="C6" s="19" t="str">
        <f>[1]!HsGetValue(conn,"Entity#"&amp;C$1&amp;";Account#"&amp;$A6&amp;大表科目本位幣調整前)</f>
        <v>#NEED_REFRESH</v>
      </c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  <c r="AS6" s="19"/>
      <c r="AT6" s="19"/>
      <c r="AU6" s="20"/>
      <c r="AV6" s="20"/>
    </row>
    <row r="7" spans="1:48" s="10" customFormat="1" ht="11.4">
      <c r="A7" s="17" t="s">
        <v>154</v>
      </c>
      <c r="B7" s="16" t="s">
        <v>155</v>
      </c>
      <c r="C7" s="19" t="str">
        <f>[1]!HsGetValue(conn,"Entity#"&amp;C$1&amp;";Account#"&amp;$A7&amp;大表科目本位幣調整前)</f>
        <v>#NEED_REFRESH</v>
      </c>
      <c r="D7" s="19"/>
      <c r="E7" s="19"/>
      <c r="F7" s="19"/>
      <c r="G7" s="19"/>
      <c r="H7" s="19"/>
      <c r="I7" s="19"/>
      <c r="J7" s="19"/>
      <c r="K7" s="19"/>
      <c r="L7" s="19"/>
      <c r="M7" s="19"/>
      <c r="N7" s="19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19"/>
      <c r="AP7" s="19"/>
      <c r="AQ7" s="19"/>
      <c r="AR7" s="19"/>
      <c r="AS7" s="19"/>
      <c r="AT7" s="19"/>
      <c r="AU7" s="20"/>
      <c r="AV7" s="20"/>
    </row>
    <row r="8" spans="1:48" s="10" customFormat="1" ht="11.4">
      <c r="A8" s="17" t="s">
        <v>156</v>
      </c>
      <c r="B8" s="16" t="s">
        <v>151</v>
      </c>
      <c r="C8" s="19" t="str">
        <f>[1]!HsGetValue(conn,"Entity#"&amp;C$1&amp;";Account#"&amp;$A8&amp;大表科目本位幣調整前)</f>
        <v>#NEED_REFRESH</v>
      </c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20"/>
      <c r="AV8" s="20"/>
    </row>
    <row r="9" spans="1:48" s="10" customFormat="1" ht="11.4">
      <c r="A9" s="17" t="s">
        <v>85</v>
      </c>
      <c r="B9" s="16" t="s">
        <v>157</v>
      </c>
      <c r="C9" s="19" t="str">
        <f>[1]!HsGetValue(conn,"Entity#"&amp;C$1&amp;";Account#"&amp;$A9&amp;大表科目本位幣調整前)</f>
        <v>#NEED_REFRESH</v>
      </c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20"/>
      <c r="AV9" s="20"/>
    </row>
    <row r="10" spans="1:48" s="10" customFormat="1" ht="11.4">
      <c r="A10" s="17"/>
      <c r="B10" s="16" t="s">
        <v>51</v>
      </c>
      <c r="C10" s="19">
        <f>SUM(C6:C9)</f>
        <v>0</v>
      </c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20"/>
      <c r="AV10" s="20"/>
    </row>
    <row r="11" spans="1:48" s="10" customFormat="1" ht="11.4">
      <c r="A11" s="17"/>
      <c r="B11" s="44" t="s">
        <v>215</v>
      </c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20"/>
      <c r="AV11" s="20"/>
    </row>
    <row r="12" spans="1:48" s="10" customFormat="1" ht="11.4">
      <c r="A12" s="17"/>
      <c r="B12" s="16" t="s">
        <v>158</v>
      </c>
      <c r="C12" s="19" t="str">
        <f>[1]!HsGetValue(conn,"Entity#"&amp;C$1&amp;";Account#"&amp;$A6&amp;大表科目本位幣調整AJE)</f>
        <v>#NEED_REFRESH</v>
      </c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19"/>
      <c r="AP12" s="19"/>
      <c r="AQ12" s="19"/>
      <c r="AR12" s="19"/>
      <c r="AS12" s="19"/>
      <c r="AT12" s="19"/>
      <c r="AU12" s="20"/>
      <c r="AV12" s="20"/>
    </row>
    <row r="13" spans="1:48" s="10" customFormat="1" ht="11.4">
      <c r="A13" s="17"/>
      <c r="B13" s="16" t="s">
        <v>159</v>
      </c>
      <c r="C13" s="19" t="str">
        <f>[1]!HsGetValue(conn,"Entity#"&amp;C$1&amp;";Account#"&amp;$A7&amp;大表科目本位幣調整AJE)</f>
        <v>#NEED_REFRESH</v>
      </c>
      <c r="D13" s="19"/>
      <c r="E13" s="19"/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19"/>
      <c r="AP13" s="19"/>
      <c r="AQ13" s="19"/>
      <c r="AR13" s="19"/>
      <c r="AS13" s="19"/>
      <c r="AT13" s="19"/>
      <c r="AU13" s="20"/>
      <c r="AV13" s="20"/>
    </row>
    <row r="14" spans="1:48" s="10" customFormat="1" ht="11.4">
      <c r="A14" s="17"/>
      <c r="B14" s="16" t="s">
        <v>160</v>
      </c>
      <c r="C14" s="19" t="str">
        <f>[1]!HsGetValue(conn,"Entity#"&amp;C$1&amp;";Account#"&amp;$A8&amp;大表科目本位幣調整AJE)</f>
        <v>#NEED_REFRESH</v>
      </c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19"/>
      <c r="AP14" s="19"/>
      <c r="AQ14" s="19"/>
      <c r="AR14" s="19"/>
      <c r="AS14" s="19"/>
      <c r="AT14" s="19"/>
      <c r="AU14" s="21"/>
      <c r="AV14" s="21"/>
    </row>
    <row r="15" spans="1:48" s="10" customFormat="1" ht="11.4">
      <c r="A15" s="17"/>
      <c r="B15" s="14" t="s">
        <v>161</v>
      </c>
      <c r="C15" s="19" t="str">
        <f>[1]!HsGetValue(conn,"Entity#"&amp;C$1&amp;";Account#"&amp;$A9&amp;大表科目本位幣調整AJE)</f>
        <v>#NEED_REFRESH</v>
      </c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19"/>
      <c r="AK15" s="19"/>
      <c r="AL15" s="19"/>
      <c r="AM15" s="19"/>
      <c r="AN15" s="19"/>
      <c r="AO15" s="19"/>
      <c r="AP15" s="19"/>
      <c r="AQ15" s="19"/>
      <c r="AR15" s="19"/>
      <c r="AS15" s="19"/>
      <c r="AT15" s="19"/>
      <c r="AU15" s="20"/>
      <c r="AV15" s="20"/>
    </row>
    <row r="16" spans="1:48" s="10" customFormat="1" ht="11.4">
      <c r="A16" s="17"/>
      <c r="B16" s="16" t="s">
        <v>51</v>
      </c>
      <c r="C16" s="19">
        <f>SUM(C12:C15)</f>
        <v>0</v>
      </c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19"/>
      <c r="AK16" s="19"/>
      <c r="AL16" s="19"/>
      <c r="AM16" s="19"/>
      <c r="AN16" s="19"/>
      <c r="AO16" s="19"/>
      <c r="AP16" s="19"/>
      <c r="AQ16" s="19"/>
      <c r="AR16" s="57"/>
      <c r="AS16" s="57"/>
      <c r="AT16" s="57"/>
      <c r="AU16" s="58"/>
      <c r="AV16" s="58"/>
    </row>
    <row r="17" spans="1:48" s="10" customFormat="1" ht="11.4">
      <c r="A17" s="17"/>
      <c r="B17" s="44" t="s">
        <v>105</v>
      </c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  <c r="AI17" s="19"/>
      <c r="AJ17" s="19"/>
      <c r="AK17" s="19"/>
      <c r="AL17" s="19"/>
      <c r="AM17" s="19"/>
      <c r="AN17" s="19"/>
      <c r="AO17" s="19"/>
      <c r="AP17" s="19"/>
      <c r="AQ17" s="19"/>
      <c r="AR17" s="57"/>
      <c r="AS17" s="42"/>
      <c r="AT17" s="42"/>
      <c r="AU17" s="43"/>
      <c r="AV17" s="43"/>
    </row>
    <row r="18" spans="1:48" s="10" customFormat="1" ht="12" customHeight="1">
      <c r="A18" s="17" t="s">
        <v>154</v>
      </c>
      <c r="B18" s="41" t="s">
        <v>155</v>
      </c>
      <c r="C18" s="19">
        <f t="array" ref="C18">IFERROR(-1*INDEX(關係人沖銷金額_本位幣!$1:$1048576,MATCH(C$1&amp;$A18,關係人沖銷金額_本位幣!$A:$A&amp;關係人沖銷金額_本位幣!$B:$B,0),MATCH("Total",關係人沖銷金額_本位幣!$1:$1,0)),0)</f>
        <v>0</v>
      </c>
      <c r="D18" s="42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  <c r="AA18" s="42"/>
      <c r="AB18" s="42"/>
      <c r="AC18" s="42"/>
      <c r="AD18" s="42"/>
      <c r="AE18" s="42"/>
      <c r="AF18" s="42"/>
      <c r="AG18" s="42"/>
      <c r="AH18" s="42"/>
      <c r="AI18" s="42"/>
      <c r="AJ18" s="42"/>
      <c r="AK18" s="42"/>
      <c r="AL18" s="42"/>
      <c r="AM18" s="42"/>
      <c r="AN18" s="42"/>
      <c r="AO18" s="42"/>
      <c r="AP18" s="42"/>
      <c r="AQ18" s="42"/>
      <c r="AR18" s="42"/>
      <c r="AS18" s="42"/>
      <c r="AT18" s="22"/>
      <c r="AU18" s="21"/>
      <c r="AV18" s="21"/>
    </row>
    <row r="19" spans="1:48" s="10" customFormat="1" ht="12" customHeight="1">
      <c r="A19" s="17" t="s">
        <v>85</v>
      </c>
      <c r="B19" s="14" t="s">
        <v>157</v>
      </c>
      <c r="C19" s="19">
        <f t="array" ref="C19">IFERROR(-1*INDEX(關係人沖銷金額_本位幣!$1:$1048576,MATCH(C$1&amp;$A19,關係人沖銷金額_本位幣!$A:$A&amp;關係人沖銷金額_本位幣!$B:$B,0),MATCH("Total",關係人沖銷金額_本位幣!$1:$1,0)),0)</f>
        <v>0</v>
      </c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  <c r="AB19" s="42"/>
      <c r="AC19" s="42"/>
      <c r="AD19" s="42"/>
      <c r="AE19" s="42"/>
      <c r="AF19" s="42"/>
      <c r="AG19" s="42"/>
      <c r="AH19" s="42"/>
      <c r="AI19" s="42"/>
      <c r="AJ19" s="42"/>
      <c r="AK19" s="42"/>
      <c r="AL19" s="42"/>
      <c r="AM19" s="42"/>
      <c r="AN19" s="42"/>
      <c r="AO19" s="42"/>
      <c r="AP19" s="42"/>
      <c r="AQ19" s="42"/>
      <c r="AR19" s="42"/>
      <c r="AS19" s="19"/>
      <c r="AT19" s="19"/>
      <c r="AU19" s="20"/>
      <c r="AV19" s="20"/>
    </row>
    <row r="20" spans="1:48" s="10" customFormat="1" ht="12" customHeight="1">
      <c r="A20" s="17"/>
      <c r="B20" s="16" t="s">
        <v>51</v>
      </c>
      <c r="C20" s="19">
        <f>SUM(C18:C19)</f>
        <v>0</v>
      </c>
      <c r="D20" s="42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  <c r="AA20" s="42"/>
      <c r="AB20" s="42"/>
      <c r="AC20" s="42"/>
      <c r="AD20" s="42"/>
      <c r="AE20" s="42"/>
      <c r="AF20" s="42"/>
      <c r="AG20" s="42"/>
      <c r="AH20" s="42"/>
      <c r="AI20" s="42"/>
      <c r="AJ20" s="42"/>
      <c r="AK20" s="42"/>
      <c r="AL20" s="42"/>
      <c r="AM20" s="42"/>
      <c r="AN20" s="42"/>
      <c r="AO20" s="42"/>
      <c r="AP20" s="42"/>
      <c r="AQ20" s="42"/>
      <c r="AR20" s="42"/>
      <c r="AS20" s="19"/>
      <c r="AT20" s="19"/>
      <c r="AU20" s="20"/>
      <c r="AV20" s="20"/>
    </row>
    <row r="21" spans="1:48" s="10" customFormat="1" ht="11.4">
      <c r="A21" s="17"/>
      <c r="B21" s="44" t="s">
        <v>106</v>
      </c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  <c r="AI21" s="19"/>
      <c r="AJ21" s="19"/>
      <c r="AK21" s="19"/>
      <c r="AL21" s="19"/>
      <c r="AM21" s="19"/>
      <c r="AN21" s="19"/>
      <c r="AO21" s="19"/>
      <c r="AP21" s="19"/>
      <c r="AQ21" s="19"/>
      <c r="AR21" s="19"/>
      <c r="AS21" s="22"/>
      <c r="AT21" s="22"/>
      <c r="AU21" s="21"/>
      <c r="AV21" s="21"/>
    </row>
    <row r="22" spans="1:48" s="10" customFormat="1" ht="12" customHeight="1">
      <c r="A22" s="17"/>
      <c r="B22" s="14" t="s">
        <v>153</v>
      </c>
      <c r="C22" s="19" t="e">
        <f>C6+C12</f>
        <v>#VALUE!</v>
      </c>
      <c r="D22" s="22"/>
      <c r="E22" s="22"/>
      <c r="F22" s="22"/>
      <c r="G22" s="22"/>
      <c r="H22" s="22"/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1"/>
      <c r="AV22" s="21"/>
    </row>
    <row r="23" spans="1:48" s="10" customFormat="1" ht="12" customHeight="1">
      <c r="A23" s="17"/>
      <c r="B23" s="14" t="s">
        <v>155</v>
      </c>
      <c r="C23" s="19" t="e">
        <f>C7+C13+C18</f>
        <v>#VALUE!</v>
      </c>
      <c r="D23" s="22"/>
      <c r="E23" s="22"/>
      <c r="F23" s="22"/>
      <c r="G23" s="22"/>
      <c r="H23" s="22"/>
      <c r="I23" s="22"/>
      <c r="J23" s="22"/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1"/>
      <c r="AV23" s="21"/>
    </row>
    <row r="24" spans="1:48" s="10" customFormat="1" ht="12" customHeight="1">
      <c r="A24" s="17"/>
      <c r="B24" s="14" t="s">
        <v>151</v>
      </c>
      <c r="C24" s="19" t="e">
        <f>C8+C14</f>
        <v>#VALUE!</v>
      </c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2"/>
      <c r="AH24" s="22"/>
      <c r="AI24" s="22"/>
      <c r="AJ24" s="22"/>
      <c r="AK24" s="22"/>
      <c r="AL24" s="22"/>
      <c r="AM24" s="22"/>
      <c r="AN24" s="22"/>
      <c r="AO24" s="22"/>
      <c r="AP24" s="22"/>
      <c r="AQ24" s="22"/>
      <c r="AR24" s="22"/>
      <c r="AS24" s="22"/>
      <c r="AT24" s="22"/>
      <c r="AU24" s="21"/>
      <c r="AV24" s="21"/>
    </row>
    <row r="25" spans="1:48" s="10" customFormat="1" ht="12" customHeight="1">
      <c r="A25" s="17"/>
      <c r="B25" s="14" t="s">
        <v>157</v>
      </c>
      <c r="C25" s="19" t="e">
        <f>C9+C15+C19</f>
        <v>#VALUE!</v>
      </c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22"/>
      <c r="Z25" s="22"/>
      <c r="AA25" s="22"/>
      <c r="AB25" s="22"/>
      <c r="AC25" s="22"/>
      <c r="AD25" s="22"/>
      <c r="AE25" s="22"/>
      <c r="AF25" s="22"/>
      <c r="AG25" s="22"/>
      <c r="AH25" s="22"/>
      <c r="AI25" s="22"/>
      <c r="AJ25" s="22"/>
      <c r="AK25" s="22"/>
      <c r="AL25" s="22"/>
      <c r="AM25" s="22"/>
      <c r="AN25" s="22"/>
      <c r="AO25" s="22"/>
      <c r="AP25" s="22"/>
      <c r="AQ25" s="22"/>
      <c r="AR25" s="22"/>
      <c r="AS25" s="26"/>
      <c r="AT25" s="26"/>
      <c r="AU25" s="21"/>
      <c r="AV25" s="21"/>
    </row>
    <row r="26" spans="1:48" s="10" customFormat="1" ht="12" customHeight="1">
      <c r="A26" s="17"/>
      <c r="B26" s="16" t="s">
        <v>51</v>
      </c>
      <c r="C26" s="19" t="e">
        <f>SUM(C22:C25)</f>
        <v>#VALUE!</v>
      </c>
      <c r="D26" s="22"/>
      <c r="E26" s="22"/>
      <c r="F26" s="22"/>
      <c r="G26" s="22"/>
      <c r="H26" s="22"/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22"/>
      <c r="Z26" s="22"/>
      <c r="AA26" s="22"/>
      <c r="AB26" s="22"/>
      <c r="AC26" s="22"/>
      <c r="AD26" s="22"/>
      <c r="AE26" s="22"/>
      <c r="AF26" s="22"/>
      <c r="AG26" s="22"/>
      <c r="AH26" s="22"/>
      <c r="AI26" s="22"/>
      <c r="AJ26" s="22"/>
      <c r="AK26" s="22"/>
      <c r="AL26" s="22"/>
      <c r="AM26" s="22"/>
      <c r="AN26" s="22"/>
      <c r="AO26" s="22"/>
      <c r="AP26" s="22"/>
      <c r="AQ26" s="22"/>
      <c r="AR26" s="22"/>
      <c r="AS26" s="26"/>
      <c r="AT26" s="26"/>
      <c r="AU26" s="21"/>
      <c r="AV26" s="21"/>
    </row>
    <row r="27" spans="1:48" s="10" customFormat="1" ht="12" customHeight="1">
      <c r="A27" s="17"/>
      <c r="B27" s="13" t="s">
        <v>54</v>
      </c>
      <c r="C27" s="19">
        <f>IF(C$3="USD",1,IF(C$3="NTD",1/[1]!HsGetValue(conn,USD換算成NTD的期末匯率),[1]!HsGetValue(conn,"Custom1#"&amp;C$3&amp;換算成USD的期末匯率)))</f>
        <v>1</v>
      </c>
      <c r="D27" s="61"/>
      <c r="E27" s="61">
        <f>IF(E$3="USD",1,IF(E$3="NTD",1/[1]!HsGetValue(conn,USD換算成NTD的期末匯率),[1]!HsGetValue(conn,"Custom1#"&amp;E$3&amp;換算成USD的期末匯率)))</f>
        <v>1</v>
      </c>
      <c r="F27" s="61">
        <f>IF(F$3="USD",1,IF(F$3="NTD",1/[1]!HsGetValue(conn,USD換算成NTD的期末匯率),[1]!HsGetValue(conn,"Custom1#"&amp;F$3&amp;換算成USD的期末匯率)))</f>
        <v>1</v>
      </c>
      <c r="G27" s="61" t="str">
        <f>IF(G$3="USD",1,IF(G$3="NTD",1/[1]!HsGetValue(conn,USD換算成NTD的期末匯率),[1]!HsGetValue(conn,"Custom1#"&amp;G$3&amp;換算成USD的期末匯率)))</f>
        <v>#NEED_REFRESH</v>
      </c>
      <c r="H27" s="61" t="str">
        <f>IF(H$3="USD",1,IF(H$3="NTD",1/[1]!HsGetValue(conn,USD換算成NTD的期末匯率),[1]!HsGetValue(conn,"Custom1#"&amp;H$3&amp;換算成USD的期末匯率)))</f>
        <v>#NEED_REFRESH</v>
      </c>
      <c r="I27" s="61" t="str">
        <f>IF(I$3="USD",1,IF(I$3="NTD",1/[1]!HsGetValue(conn,USD換算成NTD的期末匯率),[1]!HsGetValue(conn,"Custom1#"&amp;I$3&amp;換算成USD的期末匯率)))</f>
        <v>#NEED_REFRESH</v>
      </c>
      <c r="J27" s="61" t="str">
        <f>IF(J$3="USD",1,IF(J$3="NTD",1/[1]!HsGetValue(conn,USD換算成NTD的期末匯率),[1]!HsGetValue(conn,"Custom1#"&amp;J$3&amp;換算成USD的期末匯率)))</f>
        <v>#NEED_REFRESH</v>
      </c>
      <c r="K27" s="61" t="str">
        <f>IF(K$3="USD",1,IF(K$3="NTD",1/[1]!HsGetValue(conn,USD換算成NTD的期末匯率),[1]!HsGetValue(conn,"Custom1#"&amp;K$3&amp;換算成USD的期末匯率)))</f>
        <v>#NEED_REFRESH</v>
      </c>
      <c r="L27" s="61" t="str">
        <f>IF(L$3="USD",1,IF(L$3="NTD",1/[1]!HsGetValue(conn,USD換算成NTD的期末匯率),[1]!HsGetValue(conn,"Custom1#"&amp;L$3&amp;換算成USD的期末匯率)))</f>
        <v>#NEED_REFRESH</v>
      </c>
      <c r="M27" s="61">
        <f>IF(M$3="USD",1,IF(M$3="NTD",1/[1]!HsGetValue(conn,USD換算成NTD的期末匯率),[1]!HsGetValue(conn,"Custom1#"&amp;M$3&amp;換算成USD的期末匯率)))</f>
        <v>1</v>
      </c>
      <c r="N27" s="61" t="str">
        <f>IF(N$3="USD",1,IF(N$3="NTD",1/[1]!HsGetValue(conn,USD換算成NTD的期末匯率),[1]!HsGetValue(conn,"Custom1#"&amp;N$3&amp;換算成USD的期末匯率)))</f>
        <v>#NEED_REFRESH</v>
      </c>
      <c r="O27" s="61" t="str">
        <f>IF(O$3="USD",1,IF(O$3="NTD",1/[1]!HsGetValue(conn,USD換算成NTD的期末匯率),[1]!HsGetValue(conn,"Custom1#"&amp;O$3&amp;換算成USD的期末匯率)))</f>
        <v>#NEED_REFRESH</v>
      </c>
      <c r="P27" s="61" t="str">
        <f>IF(P$3="USD",1,IF(P$3="NTD",1/[1]!HsGetValue(conn,USD換算成NTD的期末匯率),[1]!HsGetValue(conn,"Custom1#"&amp;P$3&amp;換算成USD的期末匯率)))</f>
        <v>#NEED_REFRESH</v>
      </c>
      <c r="Q27" s="61" t="str">
        <f>IF(Q$3="USD",1,IF(Q$3="NTD",1/[1]!HsGetValue(conn,USD換算成NTD的期末匯率),[1]!HsGetValue(conn,"Custom1#"&amp;Q$3&amp;換算成USD的期末匯率)))</f>
        <v>#NEED_REFRESH</v>
      </c>
      <c r="R27" s="61" t="str">
        <f>IF(R$3="USD",1,IF(R$3="NTD",1/[1]!HsGetValue(conn,USD換算成NTD的期末匯率),[1]!HsGetValue(conn,"Custom1#"&amp;R$3&amp;換算成USD的期末匯率)))</f>
        <v>#NEED_REFRESH</v>
      </c>
      <c r="S27" s="61" t="str">
        <f>IF(S$3="USD",1,IF(S$3="NTD",1/[1]!HsGetValue(conn,USD換算成NTD的期末匯率),[1]!HsGetValue(conn,"Custom1#"&amp;S$3&amp;換算成USD的期末匯率)))</f>
        <v>#NEED_REFRESH</v>
      </c>
      <c r="T27" s="61" t="str">
        <f>IF(T$3="USD",1,IF(T$3="NTD",1/[1]!HsGetValue(conn,USD換算成NTD的期末匯率),[1]!HsGetValue(conn,"Custom1#"&amp;T$3&amp;換算成USD的期末匯率)))</f>
        <v>#NEED_REFRESH</v>
      </c>
      <c r="U27" s="61" t="str">
        <f>IF(U$3="USD",1,IF(U$3="NTD",1/[1]!HsGetValue(conn,USD換算成NTD的期末匯率),[1]!HsGetValue(conn,"Custom1#"&amp;U$3&amp;換算成USD的期末匯率)))</f>
        <v>#NEED_REFRESH</v>
      </c>
      <c r="V27" s="61" t="str">
        <f>IF(V$3="USD",1,IF(V$3="NTD",1/[1]!HsGetValue(conn,USD換算成NTD的期末匯率),[1]!HsGetValue(conn,"Custom1#"&amp;V$3&amp;換算成USD的期末匯率)))</f>
        <v>#NEED_REFRESH</v>
      </c>
      <c r="W27" s="61">
        <f>IF(W$3="USD",1,IF(W$3="NTD",1/[1]!HsGetValue(conn,USD換算成NTD的期末匯率),[1]!HsGetValue(conn,"Custom1#"&amp;W$3&amp;換算成USD的期末匯率)))</f>
        <v>1</v>
      </c>
      <c r="X27" s="61" t="str">
        <f>IF(X$3="USD",1,IF(X$3="NTD",1/[1]!HsGetValue(conn,USD換算成NTD的期末匯率),[1]!HsGetValue(conn,"Custom1#"&amp;X$3&amp;換算成USD的期末匯率)))</f>
        <v>#NEED_REFRESH</v>
      </c>
      <c r="Y27" s="61" t="str">
        <f>IF(Y$3="USD",1,IF(Y$3="NTD",1/[1]!HsGetValue(conn,USD換算成NTD的期末匯率),[1]!HsGetValue(conn,"Custom1#"&amp;Y$3&amp;換算成USD的期末匯率)))</f>
        <v>#NEED_REFRESH</v>
      </c>
      <c r="Z27" s="61" t="str">
        <f>IF(Z$3="USD",1,IF(Z$3="NTD",1/[1]!HsGetValue(conn,USD換算成NTD的期末匯率),[1]!HsGetValue(conn,"Custom1#"&amp;Z$3&amp;換算成USD的期末匯率)))</f>
        <v>#NEED_REFRESH</v>
      </c>
      <c r="AA27" s="61" t="str">
        <f>IF(AA$3="USD",1,IF(AA$3="NTD",1/[1]!HsGetValue(conn,USD換算成NTD的期末匯率),[1]!HsGetValue(conn,"Custom1#"&amp;AA$3&amp;換算成USD的期末匯率)))</f>
        <v>#NEED_REFRESH</v>
      </c>
      <c r="AB27" s="61" t="str">
        <f>IF(AB$3="USD",1,IF(AB$3="NTD",1/[1]!HsGetValue(conn,USD換算成NTD的期末匯率),[1]!HsGetValue(conn,"Custom1#"&amp;AB$3&amp;換算成USD的期末匯率)))</f>
        <v>#NEED_REFRESH</v>
      </c>
      <c r="AC27" s="61" t="str">
        <f>IF(AC$3="USD",1,IF(AC$3="NTD",1/[1]!HsGetValue(conn,USD換算成NTD的期末匯率),[1]!HsGetValue(conn,"Custom1#"&amp;AC$3&amp;換算成USD的期末匯率)))</f>
        <v>#NEED_REFRESH</v>
      </c>
      <c r="AD27" s="61" t="str">
        <f>IF(AD$3="USD",1,IF(AD$3="NTD",1/[1]!HsGetValue(conn,USD換算成NTD的期末匯率),[1]!HsGetValue(conn,"Custom1#"&amp;AD$3&amp;換算成USD的期末匯率)))</f>
        <v>#NEED_REFRESH</v>
      </c>
      <c r="AE27" s="61" t="str">
        <f>IF(AE$3="USD",1,IF(AE$3="NTD",1/[1]!HsGetValue(conn,USD換算成NTD的期末匯率),[1]!HsGetValue(conn,"Custom1#"&amp;AE$3&amp;換算成USD的期末匯率)))</f>
        <v>#NEED_REFRESH</v>
      </c>
      <c r="AF27" s="61">
        <f>IF(AF$3="USD",1,IF(AF$3="NTD",1/[1]!HsGetValue(conn,USD換算成NTD的期末匯率),[1]!HsGetValue(conn,"Custom1#"&amp;AF$3&amp;換算成USD的期末匯率)))</f>
        <v>1</v>
      </c>
      <c r="AG27" s="61">
        <f>IF(AG$3="USD",1,IF(AG$3="NTD",1/[1]!HsGetValue(conn,USD換算成NTD的期末匯率),[1]!HsGetValue(conn,"Custom1#"&amp;AG$3&amp;換算成USD的期末匯率)))</f>
        <v>1</v>
      </c>
      <c r="AH27" s="61">
        <f>IF(AH$3="USD",1,IF(AH$3="NTD",1/[1]!HsGetValue(conn,USD換算成NTD的期末匯率),[1]!HsGetValue(conn,"Custom1#"&amp;AH$3&amp;換算成USD的期末匯率)))</f>
        <v>1</v>
      </c>
      <c r="AI27" s="61">
        <f>IF(AI$3="USD",1,IF(AI$3="NTD",1/[1]!HsGetValue(conn,USD換算成NTD的期末匯率),[1]!HsGetValue(conn,"Custom1#"&amp;AI$3&amp;換算成USD的期末匯率)))</f>
        <v>1</v>
      </c>
      <c r="AJ27" s="61">
        <f>IF(AJ$3="USD",1,IF(AJ$3="NTD",1/[1]!HsGetValue(conn,USD換算成NTD的期末匯率),[1]!HsGetValue(conn,"Custom1#"&amp;AJ$3&amp;換算成USD的期末匯率)))</f>
        <v>1</v>
      </c>
      <c r="AK27" s="61" t="str">
        <f>IF(AK$3="USD",1,IF(AK$3="NTD",1/[1]!HsGetValue(conn,USD換算成NTD的期末匯率),[1]!HsGetValue(conn,"Custom1#"&amp;AK$3&amp;換算成USD的期末匯率)))</f>
        <v>#NEED_REFRESH</v>
      </c>
      <c r="AL27" s="61">
        <f>IF(AL$3="USD",1,IF(AL$3="NTD",1/[1]!HsGetValue(conn,USD換算成NTD的期末匯率),[1]!HsGetValue(conn,"Custom1#"&amp;AL$3&amp;換算成USD的期末匯率)))</f>
        <v>1</v>
      </c>
      <c r="AM27" s="61">
        <f>IF(AM$3="USD",1,IF(AM$3="NTD",1/[1]!HsGetValue(conn,USD換算成NTD的期末匯率),[1]!HsGetValue(conn,"Custom1#"&amp;AM$3&amp;換算成USD的期末匯率)))</f>
        <v>1</v>
      </c>
      <c r="AN27" s="61" t="e">
        <f>IF(AN$3="USD",1,IF(AN$3="NTD",1/[1]!HsGetValue(conn,USD換算成NTD的期末匯率),[1]!HsGetValue(conn,"Custom1#"&amp;AN$3&amp;換算成USD的期末匯率)))</f>
        <v>#VALUE!</v>
      </c>
      <c r="AO27" s="61">
        <f>IF(AO$3="USD",1,IF(AO$3="NTD",1/[1]!HsGetValue(conn,USD換算成NTD的期末匯率),[1]!HsGetValue(conn,"Custom1#"&amp;AO$3&amp;換算成USD的期末匯率)))</f>
        <v>1</v>
      </c>
      <c r="AP27" s="61">
        <f>IF(AP$3="USD",1,IF(AP$3="NTD",1/[1]!HsGetValue(conn,USD換算成NTD的期末匯率),[1]!HsGetValue(conn,"Custom1#"&amp;AP$3&amp;換算成USD的期末匯率)))</f>
        <v>1</v>
      </c>
      <c r="AQ27" s="61">
        <f>IF(AQ$3="USD",1,IF(AQ$3="NTD",1/[1]!HsGetValue(conn,USD換算成NTD的期末匯率),[1]!HsGetValue(conn,"Custom1#"&amp;AQ$3&amp;換算成USD的期末匯率)))</f>
        <v>1</v>
      </c>
      <c r="AR27" s="61">
        <f>IF(AR$3="USD",1,IF(AR$3="NTD",1/[1]!HsGetValue(conn,USD換算成NTD的期末匯率),[1]!HsGetValue(conn,"Custom1#"&amp;AR$3&amp;換算成USD的期末匯率)))</f>
        <v>1</v>
      </c>
      <c r="AS27" s="19"/>
      <c r="AT27" s="26"/>
      <c r="AU27" s="21"/>
      <c r="AV27" s="21"/>
    </row>
    <row r="28" spans="1:48" s="10" customFormat="1" ht="11.4">
      <c r="A28" s="17"/>
      <c r="B28" s="44" t="s">
        <v>107</v>
      </c>
      <c r="C28" s="19"/>
      <c r="D28" s="19"/>
      <c r="E28" s="19"/>
      <c r="F28" s="19"/>
      <c r="G28" s="19"/>
      <c r="H28" s="19"/>
      <c r="I28" s="19"/>
      <c r="J28" s="19"/>
      <c r="K28" s="19"/>
      <c r="L28" s="19"/>
      <c r="M28" s="19"/>
      <c r="N28" s="19"/>
      <c r="O28" s="19"/>
      <c r="P28" s="19"/>
      <c r="Q28" s="19"/>
      <c r="R28" s="19"/>
      <c r="S28" s="19"/>
      <c r="T28" s="19"/>
      <c r="U28" s="19"/>
      <c r="V28" s="19"/>
      <c r="W28" s="19"/>
      <c r="X28" s="19"/>
      <c r="Y28" s="19"/>
      <c r="Z28" s="19"/>
      <c r="AA28" s="19"/>
      <c r="AB28" s="19"/>
      <c r="AC28" s="19"/>
      <c r="AD28" s="19"/>
      <c r="AE28" s="19"/>
      <c r="AF28" s="19"/>
      <c r="AG28" s="19"/>
      <c r="AH28" s="19"/>
      <c r="AI28" s="19"/>
      <c r="AJ28" s="19"/>
      <c r="AK28" s="19"/>
      <c r="AL28" s="19"/>
      <c r="AM28" s="19"/>
      <c r="AN28" s="19"/>
      <c r="AO28" s="19"/>
      <c r="AP28" s="19"/>
      <c r="AQ28" s="19"/>
      <c r="AR28" s="19"/>
      <c r="AS28" s="19"/>
      <c r="AT28" s="19"/>
      <c r="AU28" s="20"/>
      <c r="AV28" s="20"/>
    </row>
    <row r="29" spans="1:48" s="10" customFormat="1" ht="12" customHeight="1">
      <c r="A29" s="17"/>
      <c r="B29" s="14" t="s">
        <v>153</v>
      </c>
      <c r="C29" s="19" t="e">
        <f>C22*C$27</f>
        <v>#VALUE!</v>
      </c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  <c r="O29" s="21"/>
      <c r="P29" s="21"/>
      <c r="Q29" s="21"/>
      <c r="R29" s="21"/>
      <c r="S29" s="21"/>
      <c r="T29" s="21"/>
      <c r="U29" s="21"/>
      <c r="V29" s="21"/>
      <c r="W29" s="21"/>
      <c r="X29" s="21"/>
      <c r="Y29" s="21"/>
      <c r="Z29" s="21"/>
      <c r="AA29" s="21"/>
      <c r="AB29" s="21"/>
      <c r="AC29" s="21"/>
      <c r="AD29" s="21"/>
      <c r="AE29" s="21"/>
      <c r="AF29" s="21"/>
      <c r="AG29" s="21"/>
      <c r="AH29" s="21"/>
      <c r="AI29" s="21"/>
      <c r="AJ29" s="21"/>
      <c r="AK29" s="21"/>
      <c r="AL29" s="21"/>
      <c r="AM29" s="21"/>
      <c r="AN29" s="21"/>
      <c r="AO29" s="21"/>
      <c r="AP29" s="21"/>
      <c r="AQ29" s="21"/>
      <c r="AR29" s="22"/>
      <c r="AS29" s="19" t="e">
        <f t="shared" ref="AS29:AS33" si="0">SUM(C29:AR29)</f>
        <v>#VALUE!</v>
      </c>
      <c r="AT29" s="21"/>
      <c r="AU29" s="21"/>
      <c r="AV29" s="21"/>
    </row>
    <row r="30" spans="1:48" s="10" customFormat="1" ht="12" customHeight="1">
      <c r="A30" s="17"/>
      <c r="B30" s="14" t="s">
        <v>155</v>
      </c>
      <c r="C30" s="19" t="e">
        <f>C23*C$27</f>
        <v>#VALUE!</v>
      </c>
      <c r="D30" s="21"/>
      <c r="E30" s="21"/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  <c r="Z30" s="21"/>
      <c r="AA30" s="21"/>
      <c r="AB30" s="21"/>
      <c r="AC30" s="21"/>
      <c r="AD30" s="21"/>
      <c r="AE30" s="21"/>
      <c r="AF30" s="21"/>
      <c r="AG30" s="21"/>
      <c r="AH30" s="21"/>
      <c r="AI30" s="21"/>
      <c r="AJ30" s="21"/>
      <c r="AK30" s="21"/>
      <c r="AL30" s="21"/>
      <c r="AM30" s="21"/>
      <c r="AN30" s="21"/>
      <c r="AO30" s="21"/>
      <c r="AP30" s="21"/>
      <c r="AQ30" s="21"/>
      <c r="AR30" s="22"/>
      <c r="AS30" s="19" t="e">
        <f t="shared" si="0"/>
        <v>#VALUE!</v>
      </c>
      <c r="AT30" s="21"/>
      <c r="AU30" s="21"/>
      <c r="AV30" s="21"/>
    </row>
    <row r="31" spans="1:48" s="10" customFormat="1" ht="12" customHeight="1">
      <c r="A31" s="17"/>
      <c r="B31" s="14" t="s">
        <v>151</v>
      </c>
      <c r="C31" s="19" t="e">
        <f>C24*C$27</f>
        <v>#VALUE!</v>
      </c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1"/>
      <c r="Q31" s="21"/>
      <c r="R31" s="21"/>
      <c r="S31" s="21"/>
      <c r="T31" s="21"/>
      <c r="U31" s="21"/>
      <c r="V31" s="21"/>
      <c r="W31" s="21"/>
      <c r="X31" s="21"/>
      <c r="Y31" s="21"/>
      <c r="Z31" s="21"/>
      <c r="AA31" s="21"/>
      <c r="AB31" s="21"/>
      <c r="AC31" s="21"/>
      <c r="AD31" s="21"/>
      <c r="AE31" s="21"/>
      <c r="AF31" s="21"/>
      <c r="AG31" s="21"/>
      <c r="AH31" s="21"/>
      <c r="AI31" s="21"/>
      <c r="AJ31" s="21"/>
      <c r="AK31" s="21"/>
      <c r="AL31" s="21"/>
      <c r="AM31" s="21"/>
      <c r="AN31" s="21"/>
      <c r="AO31" s="21"/>
      <c r="AP31" s="21"/>
      <c r="AQ31" s="21"/>
      <c r="AR31" s="22"/>
      <c r="AS31" s="19" t="e">
        <f t="shared" si="0"/>
        <v>#VALUE!</v>
      </c>
      <c r="AT31" s="21"/>
      <c r="AU31" s="21"/>
      <c r="AV31" s="21"/>
    </row>
    <row r="32" spans="1:48" s="10" customFormat="1" ht="12" customHeight="1">
      <c r="A32" s="17"/>
      <c r="B32" s="14" t="s">
        <v>157</v>
      </c>
      <c r="C32" s="19" t="e">
        <f>C25*C$27</f>
        <v>#VALUE!</v>
      </c>
      <c r="D32" s="21"/>
      <c r="E32" s="21"/>
      <c r="F32" s="21"/>
      <c r="G32" s="21"/>
      <c r="H32" s="21"/>
      <c r="I32" s="21"/>
      <c r="J32" s="21"/>
      <c r="K32" s="21"/>
      <c r="L32" s="21"/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  <c r="Z32" s="21"/>
      <c r="AA32" s="21"/>
      <c r="AB32" s="21"/>
      <c r="AC32" s="21"/>
      <c r="AD32" s="21"/>
      <c r="AE32" s="21"/>
      <c r="AF32" s="21"/>
      <c r="AG32" s="21"/>
      <c r="AH32" s="21"/>
      <c r="AI32" s="21"/>
      <c r="AJ32" s="21"/>
      <c r="AK32" s="21"/>
      <c r="AL32" s="21"/>
      <c r="AM32" s="21"/>
      <c r="AN32" s="21"/>
      <c r="AO32" s="21"/>
      <c r="AP32" s="21"/>
      <c r="AQ32" s="21"/>
      <c r="AR32" s="22"/>
      <c r="AS32" s="19" t="e">
        <f t="shared" si="0"/>
        <v>#VALUE!</v>
      </c>
      <c r="AT32" s="21"/>
      <c r="AV32" s="21"/>
    </row>
    <row r="33" spans="1:48" s="10" customFormat="1" ht="12" customHeight="1">
      <c r="A33" s="17"/>
      <c r="B33" s="16" t="s">
        <v>51</v>
      </c>
      <c r="C33" s="19" t="e">
        <f>SUM(C29:C32)</f>
        <v>#VALUE!</v>
      </c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  <c r="Z33" s="21"/>
      <c r="AA33" s="21"/>
      <c r="AB33" s="21"/>
      <c r="AC33" s="21"/>
      <c r="AD33" s="21"/>
      <c r="AE33" s="21"/>
      <c r="AF33" s="21"/>
      <c r="AG33" s="21"/>
      <c r="AH33" s="21"/>
      <c r="AI33" s="21"/>
      <c r="AJ33" s="21"/>
      <c r="AK33" s="21"/>
      <c r="AL33" s="21"/>
      <c r="AM33" s="21"/>
      <c r="AN33" s="21"/>
      <c r="AO33" s="21"/>
      <c r="AP33" s="21"/>
      <c r="AQ33" s="21"/>
      <c r="AR33" s="22"/>
      <c r="AS33" s="19" t="e">
        <f t="shared" si="0"/>
        <v>#VALUE!</v>
      </c>
      <c r="AT33" s="19" t="e">
        <f>[1]!HsGetValue(conn,"Entity#C60452;Account#"&amp;$A$6&amp;大表科目本位幣調整AJE)+[1]!HsGetValue(conn,"Entity#C60452;Account#"&amp;$A$7&amp;大表科目本位幣調整AJE)+[1]!HsGetValue(conn,"Entity#C60452;Account#"&amp;$A$8&amp;大表科目本位幣調整AJE)+[1]!HsGetValue(conn,"Entity#C60452;Account#"&amp;$A$9&amp;大表科目本位幣調整AJE)</f>
        <v>#VALUE!</v>
      </c>
      <c r="AU33" s="20" t="e">
        <f>AS33+AT33</f>
        <v>#VALUE!</v>
      </c>
      <c r="AV33" s="20" t="e">
        <f>ROUND(AU33/1000,)</f>
        <v>#VALUE!</v>
      </c>
    </row>
    <row r="34" spans="1:48" s="10" customFormat="1" ht="12" customHeight="1">
      <c r="A34" s="17"/>
      <c r="B34" s="13" t="s">
        <v>87</v>
      </c>
      <c r="C34" s="19"/>
      <c r="D34" s="21"/>
      <c r="E34" s="21"/>
      <c r="F34" s="21"/>
      <c r="G34" s="21"/>
      <c r="H34" s="21"/>
      <c r="I34" s="21"/>
      <c r="J34" s="21"/>
      <c r="K34" s="21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/>
      <c r="X34" s="21"/>
      <c r="Y34" s="21"/>
      <c r="Z34" s="21"/>
      <c r="AA34" s="21"/>
      <c r="AB34" s="21"/>
      <c r="AC34" s="21"/>
      <c r="AD34" s="21"/>
      <c r="AE34" s="21"/>
      <c r="AF34" s="21"/>
      <c r="AG34" s="21"/>
      <c r="AH34" s="21"/>
      <c r="AI34" s="21"/>
      <c r="AJ34" s="21"/>
      <c r="AK34" s="21"/>
      <c r="AL34" s="21"/>
      <c r="AM34" s="21"/>
      <c r="AN34" s="21"/>
      <c r="AO34" s="21"/>
      <c r="AP34" s="21"/>
      <c r="AQ34" s="21"/>
      <c r="AR34" s="21"/>
      <c r="AS34" s="21"/>
      <c r="AT34" s="21"/>
      <c r="AU34" s="21" t="e">
        <f>[1]!HsGetValue(conn,"Entity#C60452;Account#"&amp;$A$6&amp;大表科目本位幣調整后)+[1]!HsGetValue(conn,"Entity#C60452;Account#"&amp;$A$7&amp;大表科目本位幣調整后)+[1]!HsGetValue(conn,"Entity#C60452;Account#"&amp;$A$8&amp;大表科目本位幣調整后)+[1]!HsGetValue(conn,"Entity#C60452;Account#"&amp;$A$9&amp;大表科目本位幣調整后)</f>
        <v>#VALUE!</v>
      </c>
      <c r="AV34" s="21"/>
    </row>
    <row r="35" spans="1:48" s="10" customFormat="1" ht="12" customHeight="1">
      <c r="A35" s="17"/>
      <c r="B35" s="13" t="s">
        <v>110</v>
      </c>
      <c r="C35" s="19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/>
      <c r="V35" s="21"/>
      <c r="W35" s="21"/>
      <c r="X35" s="21"/>
      <c r="Y35" s="21"/>
      <c r="Z35" s="21"/>
      <c r="AA35" s="21"/>
      <c r="AB35" s="21"/>
      <c r="AC35" s="21"/>
      <c r="AD35" s="21"/>
      <c r="AE35" s="21"/>
      <c r="AF35" s="21"/>
      <c r="AG35" s="21"/>
      <c r="AH35" s="21"/>
      <c r="AI35" s="21"/>
      <c r="AJ35" s="21"/>
      <c r="AK35" s="21"/>
      <c r="AL35" s="21"/>
      <c r="AM35" s="21"/>
      <c r="AN35" s="21"/>
      <c r="AO35" s="21"/>
      <c r="AP35" s="21"/>
      <c r="AQ35" s="21"/>
      <c r="AR35" s="21"/>
      <c r="AS35" s="21"/>
      <c r="AT35" s="21"/>
      <c r="AU35" s="21" t="e">
        <f>AU33-AU34</f>
        <v>#VALUE!</v>
      </c>
      <c r="AV35" s="21"/>
    </row>
    <row r="36" spans="1:48" s="10" customFormat="1" ht="12" customHeight="1">
      <c r="A36" s="17"/>
      <c r="B36" s="78"/>
      <c r="C36" s="79"/>
      <c r="D36" s="79"/>
      <c r="E36" s="79"/>
      <c r="F36" s="79"/>
      <c r="G36" s="79"/>
      <c r="H36" s="79"/>
      <c r="I36" s="79"/>
      <c r="J36" s="79"/>
      <c r="K36" s="79"/>
      <c r="L36" s="79"/>
      <c r="M36" s="79"/>
      <c r="N36" s="79"/>
      <c r="O36" s="79"/>
      <c r="P36" s="79"/>
      <c r="Q36" s="79"/>
      <c r="R36" s="79"/>
      <c r="S36" s="79"/>
      <c r="T36" s="79"/>
      <c r="U36" s="79"/>
      <c r="V36" s="79"/>
      <c r="W36" s="79"/>
      <c r="X36" s="79"/>
      <c r="Y36" s="79"/>
      <c r="Z36" s="79"/>
      <c r="AA36" s="79"/>
      <c r="AB36" s="79"/>
      <c r="AC36" s="79"/>
      <c r="AD36" s="79"/>
      <c r="AE36" s="79"/>
      <c r="AF36" s="79"/>
      <c r="AG36" s="79"/>
      <c r="AH36" s="79"/>
      <c r="AI36" s="79"/>
      <c r="AJ36" s="79"/>
      <c r="AK36" s="79"/>
      <c r="AL36" s="79"/>
      <c r="AM36" s="79"/>
      <c r="AN36" s="79"/>
      <c r="AO36" s="79"/>
      <c r="AP36" s="79"/>
      <c r="AQ36" s="79"/>
      <c r="AR36" s="79"/>
      <c r="AS36" s="79"/>
      <c r="AT36" s="79"/>
      <c r="AU36" s="79"/>
      <c r="AV36" s="80"/>
    </row>
    <row r="37" spans="1:48" s="10" customFormat="1" ht="12" customHeight="1">
      <c r="A37" s="17"/>
      <c r="B37" s="75" t="s">
        <v>162</v>
      </c>
      <c r="C37" s="76" t="e">
        <f>SUM(#REF!)</f>
        <v>#REF!</v>
      </c>
      <c r="D37" s="76"/>
      <c r="E37" s="76" t="e">
        <f>SUM(#REF!)</f>
        <v>#REF!</v>
      </c>
      <c r="F37" s="76" t="e">
        <f>SUM(#REF!)</f>
        <v>#REF!</v>
      </c>
      <c r="G37" s="76" t="e">
        <f>SUM(#REF!)</f>
        <v>#REF!</v>
      </c>
      <c r="H37" s="76" t="e">
        <f>SUM(#REF!)</f>
        <v>#REF!</v>
      </c>
      <c r="I37" s="76" t="e">
        <f>SUM(#REF!)</f>
        <v>#REF!</v>
      </c>
      <c r="J37" s="76" t="e">
        <f>SUM(#REF!)</f>
        <v>#REF!</v>
      </c>
      <c r="K37" s="76" t="e">
        <f>SUM(#REF!)</f>
        <v>#REF!</v>
      </c>
      <c r="L37" s="76" t="e">
        <f>SUM(#REF!)</f>
        <v>#REF!</v>
      </c>
      <c r="M37" s="76" t="e">
        <f>SUM(#REF!)</f>
        <v>#REF!</v>
      </c>
      <c r="N37" s="76" t="e">
        <f>SUM(#REF!)</f>
        <v>#REF!</v>
      </c>
      <c r="O37" s="76" t="e">
        <f>SUM(#REF!)</f>
        <v>#REF!</v>
      </c>
      <c r="P37" s="76" t="e">
        <f>SUM(#REF!)</f>
        <v>#REF!</v>
      </c>
      <c r="Q37" s="76" t="e">
        <f>SUM(#REF!)</f>
        <v>#REF!</v>
      </c>
      <c r="R37" s="76" t="e">
        <f>SUM(#REF!)</f>
        <v>#REF!</v>
      </c>
      <c r="S37" s="76" t="e">
        <f>SUM(#REF!)</f>
        <v>#REF!</v>
      </c>
      <c r="T37" s="76" t="e">
        <f>SUM(#REF!)</f>
        <v>#REF!</v>
      </c>
      <c r="U37" s="76" t="e">
        <f>SUM(#REF!)</f>
        <v>#REF!</v>
      </c>
      <c r="V37" s="76" t="e">
        <f>SUM(#REF!)</f>
        <v>#REF!</v>
      </c>
      <c r="W37" s="76" t="e">
        <f>SUM(#REF!)</f>
        <v>#REF!</v>
      </c>
      <c r="X37" s="76" t="e">
        <f>SUM(#REF!)</f>
        <v>#REF!</v>
      </c>
      <c r="Y37" s="76" t="e">
        <f>SUM(#REF!)</f>
        <v>#REF!</v>
      </c>
      <c r="Z37" s="76" t="e">
        <f>SUM(#REF!)</f>
        <v>#REF!</v>
      </c>
      <c r="AA37" s="76" t="e">
        <f>SUM(#REF!)</f>
        <v>#REF!</v>
      </c>
      <c r="AB37" s="76" t="e">
        <f>SUM(#REF!)</f>
        <v>#REF!</v>
      </c>
      <c r="AC37" s="76" t="e">
        <f>SUM(#REF!)</f>
        <v>#REF!</v>
      </c>
      <c r="AD37" s="76" t="e">
        <f>SUM(#REF!)</f>
        <v>#REF!</v>
      </c>
      <c r="AE37" s="76" t="e">
        <f>SUM(#REF!)</f>
        <v>#REF!</v>
      </c>
      <c r="AF37" s="76" t="e">
        <f>SUM(#REF!)</f>
        <v>#REF!</v>
      </c>
      <c r="AG37" s="76" t="e">
        <f>SUM(#REF!)</f>
        <v>#REF!</v>
      </c>
      <c r="AH37" s="76" t="e">
        <f>SUM(#REF!)</f>
        <v>#REF!</v>
      </c>
      <c r="AI37" s="76" t="e">
        <f>SUM(#REF!)</f>
        <v>#REF!</v>
      </c>
      <c r="AJ37" s="76" t="e">
        <f>SUM(#REF!)</f>
        <v>#REF!</v>
      </c>
      <c r="AK37" s="76" t="e">
        <f>SUM(#REF!)</f>
        <v>#REF!</v>
      </c>
      <c r="AL37" s="76" t="e">
        <f>SUM(#REF!)</f>
        <v>#REF!</v>
      </c>
      <c r="AM37" s="76" t="e">
        <f>SUM(#REF!)</f>
        <v>#REF!</v>
      </c>
      <c r="AN37" s="76" t="e">
        <f>SUM(#REF!)</f>
        <v>#REF!</v>
      </c>
      <c r="AO37" s="76" t="e">
        <f>SUM(#REF!)</f>
        <v>#REF!</v>
      </c>
      <c r="AP37" s="76" t="e">
        <f>SUM(#REF!)</f>
        <v>#REF!</v>
      </c>
      <c r="AQ37" s="76" t="e">
        <f>SUM(#REF!)</f>
        <v>#REF!</v>
      </c>
      <c r="AR37" s="76"/>
      <c r="AS37" s="76"/>
      <c r="AT37" s="76" t="e">
        <f>SUM(C37:AQ37)</f>
        <v>#REF!</v>
      </c>
      <c r="AU37" s="76" t="e">
        <f>ROUND(AT37/1000,)</f>
        <v>#REF!</v>
      </c>
      <c r="AV37" s="77"/>
    </row>
    <row r="38" spans="1:48" s="10" customFormat="1" ht="11.4">
      <c r="A38" s="17"/>
      <c r="B38" s="44" t="s">
        <v>108</v>
      </c>
      <c r="C38" s="19"/>
      <c r="D38" s="19"/>
      <c r="E38" s="19"/>
      <c r="F38" s="19"/>
      <c r="G38" s="19"/>
      <c r="H38" s="19"/>
      <c r="I38" s="19"/>
      <c r="J38" s="19"/>
      <c r="K38" s="19"/>
      <c r="L38" s="19"/>
      <c r="M38" s="19"/>
      <c r="N38" s="19"/>
      <c r="O38" s="19"/>
      <c r="P38" s="19"/>
      <c r="Q38" s="19"/>
      <c r="R38" s="19"/>
      <c r="S38" s="19"/>
      <c r="T38" s="19"/>
      <c r="U38" s="19"/>
      <c r="V38" s="19"/>
      <c r="W38" s="19"/>
      <c r="X38" s="19"/>
      <c r="Y38" s="19"/>
      <c r="Z38" s="19"/>
      <c r="AA38" s="19"/>
      <c r="AB38" s="19"/>
      <c r="AC38" s="19"/>
      <c r="AD38" s="19"/>
      <c r="AE38" s="19"/>
      <c r="AF38" s="19"/>
      <c r="AG38" s="19"/>
      <c r="AH38" s="19"/>
      <c r="AI38" s="19"/>
      <c r="AJ38" s="19"/>
      <c r="AK38" s="19"/>
      <c r="AL38" s="19"/>
      <c r="AM38" s="19"/>
      <c r="AN38" s="19"/>
      <c r="AO38" s="19"/>
      <c r="AP38" s="19"/>
      <c r="AQ38" s="19"/>
      <c r="AR38" s="19"/>
      <c r="AS38" s="19"/>
      <c r="AT38" s="19"/>
      <c r="AU38" s="20"/>
      <c r="AV38" s="20"/>
    </row>
    <row r="39" spans="1:48" s="10" customFormat="1" ht="11.4">
      <c r="A39" s="17" t="s">
        <v>163</v>
      </c>
      <c r="B39" s="16" t="s">
        <v>162</v>
      </c>
      <c r="C39" s="19" t="str">
        <f>[1]!HsGetValue(conn,"Entity#"&amp;C$1&amp;";Account#"&amp;$A39&amp;大表科目本位幣調整前)</f>
        <v>#NEED_REFRESH</v>
      </c>
      <c r="D39" s="19"/>
      <c r="E39" s="19"/>
      <c r="F39" s="19"/>
      <c r="G39" s="19"/>
      <c r="H39" s="19"/>
      <c r="I39" s="19"/>
      <c r="J39" s="19"/>
      <c r="K39" s="19"/>
      <c r="L39" s="19"/>
      <c r="M39" s="19"/>
      <c r="N39" s="19"/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  <c r="Z39" s="19"/>
      <c r="AA39" s="19"/>
      <c r="AB39" s="19"/>
      <c r="AC39" s="19"/>
      <c r="AD39" s="19"/>
      <c r="AE39" s="19"/>
      <c r="AF39" s="19"/>
      <c r="AG39" s="19"/>
      <c r="AH39" s="19"/>
      <c r="AI39" s="19"/>
      <c r="AJ39" s="19"/>
      <c r="AK39" s="19"/>
      <c r="AL39" s="19"/>
      <c r="AM39" s="19"/>
      <c r="AN39" s="19"/>
      <c r="AO39" s="19"/>
      <c r="AP39" s="19"/>
      <c r="AQ39" s="19"/>
      <c r="AR39" s="19"/>
      <c r="AS39" s="19"/>
      <c r="AT39" s="19"/>
      <c r="AU39" s="20"/>
      <c r="AV39" s="20"/>
    </row>
    <row r="40" spans="1:48" s="10" customFormat="1" ht="11.4">
      <c r="A40" s="17" t="s">
        <v>86</v>
      </c>
      <c r="B40" s="16" t="s">
        <v>164</v>
      </c>
      <c r="C40" s="19" t="str">
        <f>[1]!HsGetValue(conn,"Entity#"&amp;C$1&amp;";Account#"&amp;$A40&amp;大表科目本位幣調整前)</f>
        <v>#NEED_REFRESH</v>
      </c>
      <c r="D40" s="19"/>
      <c r="E40" s="19"/>
      <c r="F40" s="19"/>
      <c r="G40" s="19"/>
      <c r="H40" s="19"/>
      <c r="I40" s="19"/>
      <c r="J40" s="19"/>
      <c r="K40" s="19"/>
      <c r="L40" s="19"/>
      <c r="M40" s="19"/>
      <c r="N40" s="19"/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19"/>
      <c r="Z40" s="19"/>
      <c r="AA40" s="19"/>
      <c r="AB40" s="19"/>
      <c r="AC40" s="19"/>
      <c r="AD40" s="19"/>
      <c r="AE40" s="19"/>
      <c r="AF40" s="19"/>
      <c r="AG40" s="19"/>
      <c r="AH40" s="19"/>
      <c r="AI40" s="19"/>
      <c r="AJ40" s="19"/>
      <c r="AK40" s="19"/>
      <c r="AL40" s="19"/>
      <c r="AM40" s="19"/>
      <c r="AN40" s="19"/>
      <c r="AO40" s="19"/>
      <c r="AP40" s="19"/>
      <c r="AQ40" s="19"/>
      <c r="AR40" s="19"/>
      <c r="AS40" s="19"/>
      <c r="AT40" s="19"/>
      <c r="AU40" s="20"/>
      <c r="AV40" s="20"/>
    </row>
    <row r="41" spans="1:48" s="10" customFormat="1" ht="11.4">
      <c r="A41" s="17" t="s">
        <v>165</v>
      </c>
      <c r="B41" s="16" t="s">
        <v>166</v>
      </c>
      <c r="C41" s="19" t="str">
        <f>[1]!HsGetValue(conn,"Entity#"&amp;C$1&amp;";Account#"&amp;$A41&amp;大表科目本位幣調整前)</f>
        <v>#NEED_REFRESH</v>
      </c>
      <c r="D41" s="19"/>
      <c r="E41" s="19"/>
      <c r="F41" s="19"/>
      <c r="G41" s="19"/>
      <c r="H41" s="19"/>
      <c r="I41" s="19"/>
      <c r="J41" s="19"/>
      <c r="K41" s="19"/>
      <c r="L41" s="19"/>
      <c r="M41" s="19"/>
      <c r="N41" s="19"/>
      <c r="O41" s="19"/>
      <c r="P41" s="19"/>
      <c r="Q41" s="19"/>
      <c r="R41" s="19"/>
      <c r="S41" s="19"/>
      <c r="T41" s="19"/>
      <c r="U41" s="19"/>
      <c r="V41" s="19"/>
      <c r="W41" s="19"/>
      <c r="X41" s="19"/>
      <c r="Y41" s="19"/>
      <c r="Z41" s="19"/>
      <c r="AA41" s="19"/>
      <c r="AB41" s="19"/>
      <c r="AC41" s="19"/>
      <c r="AD41" s="19"/>
      <c r="AE41" s="19"/>
      <c r="AF41" s="19"/>
      <c r="AG41" s="19"/>
      <c r="AH41" s="19"/>
      <c r="AI41" s="19"/>
      <c r="AJ41" s="19"/>
      <c r="AK41" s="19"/>
      <c r="AL41" s="19"/>
      <c r="AM41" s="19"/>
      <c r="AN41" s="19"/>
      <c r="AO41" s="19"/>
      <c r="AP41" s="19"/>
      <c r="AQ41" s="19"/>
      <c r="AR41" s="19"/>
      <c r="AS41" s="19"/>
      <c r="AT41" s="19"/>
      <c r="AU41" s="20"/>
      <c r="AV41" s="20"/>
    </row>
    <row r="42" spans="1:48" s="10" customFormat="1" ht="11.4">
      <c r="A42" s="17" t="s">
        <v>167</v>
      </c>
      <c r="B42" s="16" t="s">
        <v>168</v>
      </c>
      <c r="C42" s="19" t="str">
        <f>[1]!HsGetValue(conn,"Entity#"&amp;C$1&amp;";Account#"&amp;$A42&amp;大表科目本位幣調整前)</f>
        <v>#NEED_REFRESH</v>
      </c>
      <c r="D42" s="19"/>
      <c r="E42" s="19"/>
      <c r="F42" s="19"/>
      <c r="G42" s="19"/>
      <c r="H42" s="19"/>
      <c r="I42" s="19"/>
      <c r="J42" s="19"/>
      <c r="K42" s="19"/>
      <c r="L42" s="19"/>
      <c r="M42" s="19"/>
      <c r="N42" s="19"/>
      <c r="O42" s="19"/>
      <c r="P42" s="19"/>
      <c r="Q42" s="19"/>
      <c r="R42" s="19"/>
      <c r="S42" s="19"/>
      <c r="T42" s="19"/>
      <c r="U42" s="19"/>
      <c r="V42" s="19"/>
      <c r="W42" s="19"/>
      <c r="X42" s="19"/>
      <c r="Y42" s="19"/>
      <c r="Z42" s="19"/>
      <c r="AA42" s="19"/>
      <c r="AB42" s="19"/>
      <c r="AC42" s="19"/>
      <c r="AD42" s="19"/>
      <c r="AE42" s="19"/>
      <c r="AF42" s="19"/>
      <c r="AG42" s="19"/>
      <c r="AH42" s="19"/>
      <c r="AI42" s="19"/>
      <c r="AJ42" s="19"/>
      <c r="AK42" s="19"/>
      <c r="AL42" s="19"/>
      <c r="AM42" s="19"/>
      <c r="AN42" s="19"/>
      <c r="AO42" s="19"/>
      <c r="AP42" s="19"/>
      <c r="AQ42" s="19"/>
      <c r="AR42" s="19"/>
      <c r="AS42" s="19"/>
      <c r="AT42" s="19"/>
      <c r="AU42" s="20"/>
      <c r="AV42" s="20"/>
    </row>
    <row r="43" spans="1:48" s="10" customFormat="1" ht="11.4">
      <c r="A43" s="17" t="s">
        <v>169</v>
      </c>
      <c r="B43" s="16" t="s">
        <v>170</v>
      </c>
      <c r="C43" s="19" t="str">
        <f>[1]!HsGetValue(conn,"Entity#"&amp;C$1&amp;";Account#"&amp;$A43&amp;大表科目本位幣調整前)</f>
        <v>#NEED_REFRESH</v>
      </c>
      <c r="D43" s="19"/>
      <c r="E43" s="19"/>
      <c r="F43" s="19"/>
      <c r="G43" s="19"/>
      <c r="H43" s="19"/>
      <c r="I43" s="19"/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9"/>
      <c r="X43" s="19"/>
      <c r="Y43" s="19"/>
      <c r="Z43" s="19"/>
      <c r="AA43" s="19"/>
      <c r="AB43" s="19"/>
      <c r="AC43" s="19"/>
      <c r="AD43" s="19"/>
      <c r="AE43" s="19"/>
      <c r="AF43" s="19"/>
      <c r="AG43" s="19"/>
      <c r="AH43" s="19"/>
      <c r="AI43" s="19"/>
      <c r="AJ43" s="19"/>
      <c r="AK43" s="19"/>
      <c r="AL43" s="19"/>
      <c r="AM43" s="19"/>
      <c r="AN43" s="19"/>
      <c r="AO43" s="19"/>
      <c r="AP43" s="19"/>
      <c r="AQ43" s="19"/>
      <c r="AR43" s="19"/>
      <c r="AS43" s="19"/>
      <c r="AT43" s="19"/>
      <c r="AU43" s="20"/>
      <c r="AV43" s="20"/>
    </row>
    <row r="44" spans="1:48" s="10" customFormat="1" ht="11.4">
      <c r="A44" s="17" t="s">
        <v>171</v>
      </c>
      <c r="B44" s="16" t="s">
        <v>172</v>
      </c>
      <c r="C44" s="19" t="str">
        <f>[1]!HsGetValue(conn,"Entity#"&amp;C$1&amp;";Account#"&amp;$A44&amp;大表科目本位幣調整前)</f>
        <v>#NEED_REFRESH</v>
      </c>
      <c r="D44" s="19"/>
      <c r="E44" s="19"/>
      <c r="F44" s="19"/>
      <c r="G44" s="19"/>
      <c r="H44" s="19"/>
      <c r="I44" s="19"/>
      <c r="J44" s="19"/>
      <c r="K44" s="19"/>
      <c r="L44" s="19"/>
      <c r="M44" s="19"/>
      <c r="N44" s="19"/>
      <c r="O44" s="19"/>
      <c r="P44" s="19"/>
      <c r="Q44" s="19"/>
      <c r="R44" s="19"/>
      <c r="S44" s="19"/>
      <c r="T44" s="19"/>
      <c r="U44" s="19"/>
      <c r="V44" s="19"/>
      <c r="W44" s="19"/>
      <c r="X44" s="19"/>
      <c r="Y44" s="19"/>
      <c r="Z44" s="19"/>
      <c r="AA44" s="19"/>
      <c r="AB44" s="19"/>
      <c r="AC44" s="19"/>
      <c r="AD44" s="19"/>
      <c r="AE44" s="19"/>
      <c r="AF44" s="19"/>
      <c r="AG44" s="19"/>
      <c r="AH44" s="19"/>
      <c r="AI44" s="19"/>
      <c r="AJ44" s="19"/>
      <c r="AK44" s="19"/>
      <c r="AL44" s="19"/>
      <c r="AM44" s="19"/>
      <c r="AN44" s="19"/>
      <c r="AO44" s="19"/>
      <c r="AP44" s="19"/>
      <c r="AQ44" s="19"/>
      <c r="AR44" s="19"/>
      <c r="AS44" s="19"/>
      <c r="AT44" s="19"/>
      <c r="AU44" s="20"/>
      <c r="AV44" s="20"/>
    </row>
    <row r="45" spans="1:48" s="10" customFormat="1" ht="11.4">
      <c r="A45" s="17"/>
      <c r="B45" s="16" t="s">
        <v>51</v>
      </c>
      <c r="C45" s="19">
        <f>SUM(C39:C44)</f>
        <v>0</v>
      </c>
      <c r="D45" s="19"/>
      <c r="E45" s="19"/>
      <c r="F45" s="19"/>
      <c r="G45" s="19"/>
      <c r="H45" s="19"/>
      <c r="I45" s="19"/>
      <c r="J45" s="19"/>
      <c r="K45" s="19"/>
      <c r="L45" s="19"/>
      <c r="M45" s="19"/>
      <c r="N45" s="19"/>
      <c r="O45" s="19"/>
      <c r="P45" s="19"/>
      <c r="Q45" s="19"/>
      <c r="R45" s="19"/>
      <c r="S45" s="19"/>
      <c r="T45" s="19"/>
      <c r="U45" s="19"/>
      <c r="V45" s="19"/>
      <c r="W45" s="19"/>
      <c r="X45" s="19"/>
      <c r="Y45" s="19"/>
      <c r="Z45" s="19"/>
      <c r="AA45" s="19"/>
      <c r="AB45" s="19"/>
      <c r="AC45" s="19"/>
      <c r="AD45" s="19"/>
      <c r="AE45" s="19"/>
      <c r="AF45" s="19"/>
      <c r="AG45" s="19"/>
      <c r="AH45" s="19"/>
      <c r="AI45" s="19"/>
      <c r="AJ45" s="19"/>
      <c r="AK45" s="19"/>
      <c r="AL45" s="19"/>
      <c r="AM45" s="19"/>
      <c r="AN45" s="19"/>
      <c r="AO45" s="19"/>
      <c r="AP45" s="19"/>
      <c r="AQ45" s="19"/>
      <c r="AR45" s="19"/>
      <c r="AS45" s="19"/>
      <c r="AT45" s="19"/>
      <c r="AU45" s="20"/>
      <c r="AV45" s="20"/>
    </row>
    <row r="46" spans="1:48" s="10" customFormat="1" ht="11.4">
      <c r="A46" s="17"/>
      <c r="B46" s="44" t="s">
        <v>215</v>
      </c>
      <c r="C46" s="19"/>
      <c r="D46" s="19"/>
      <c r="E46" s="19"/>
      <c r="F46" s="19"/>
      <c r="G46" s="19"/>
      <c r="H46" s="19"/>
      <c r="I46" s="19"/>
      <c r="J46" s="19"/>
      <c r="K46" s="19"/>
      <c r="L46" s="19"/>
      <c r="M46" s="19"/>
      <c r="N46" s="19"/>
      <c r="O46" s="19"/>
      <c r="P46" s="19"/>
      <c r="Q46" s="19"/>
      <c r="R46" s="19"/>
      <c r="S46" s="19"/>
      <c r="T46" s="19"/>
      <c r="U46" s="19"/>
      <c r="V46" s="19"/>
      <c r="W46" s="19"/>
      <c r="X46" s="19"/>
      <c r="Y46" s="19"/>
      <c r="Z46" s="19"/>
      <c r="AA46" s="19"/>
      <c r="AB46" s="19"/>
      <c r="AC46" s="19"/>
      <c r="AD46" s="19"/>
      <c r="AE46" s="19"/>
      <c r="AF46" s="19"/>
      <c r="AG46" s="19"/>
      <c r="AH46" s="19"/>
      <c r="AI46" s="19"/>
      <c r="AJ46" s="19"/>
      <c r="AK46" s="19"/>
      <c r="AL46" s="19"/>
      <c r="AM46" s="19"/>
      <c r="AN46" s="19"/>
      <c r="AO46" s="19"/>
      <c r="AP46" s="19"/>
      <c r="AQ46" s="19"/>
      <c r="AR46" s="19"/>
      <c r="AS46" s="19"/>
      <c r="AT46" s="19"/>
      <c r="AU46" s="20"/>
      <c r="AV46" s="20"/>
    </row>
    <row r="47" spans="1:48" s="10" customFormat="1" ht="11.4">
      <c r="A47" s="17"/>
      <c r="B47" s="16" t="s">
        <v>173</v>
      </c>
      <c r="C47" s="19" t="str">
        <f>[1]!HsGetValue(conn,"Entity#"&amp;C$1&amp;";Account#"&amp;$A39&amp;大表科目本位幣調整AJE)</f>
        <v>#NEED_REFRESH</v>
      </c>
      <c r="D47" s="19"/>
      <c r="E47" s="19"/>
      <c r="F47" s="19"/>
      <c r="G47" s="19"/>
      <c r="H47" s="19"/>
      <c r="I47" s="19"/>
      <c r="J47" s="19"/>
      <c r="K47" s="19"/>
      <c r="L47" s="19"/>
      <c r="M47" s="19"/>
      <c r="N47" s="19"/>
      <c r="O47" s="19"/>
      <c r="P47" s="19"/>
      <c r="Q47" s="19"/>
      <c r="R47" s="19"/>
      <c r="S47" s="19"/>
      <c r="T47" s="19"/>
      <c r="U47" s="19"/>
      <c r="V47" s="19"/>
      <c r="W47" s="19"/>
      <c r="X47" s="19"/>
      <c r="Y47" s="19"/>
      <c r="Z47" s="19"/>
      <c r="AA47" s="19"/>
      <c r="AB47" s="19"/>
      <c r="AC47" s="19"/>
      <c r="AD47" s="19"/>
      <c r="AE47" s="19"/>
      <c r="AF47" s="19"/>
      <c r="AG47" s="19"/>
      <c r="AH47" s="19"/>
      <c r="AI47" s="19"/>
      <c r="AJ47" s="19"/>
      <c r="AK47" s="19"/>
      <c r="AL47" s="19"/>
      <c r="AM47" s="19"/>
      <c r="AN47" s="19"/>
      <c r="AO47" s="19"/>
      <c r="AP47" s="19"/>
      <c r="AQ47" s="19"/>
      <c r="AR47" s="19"/>
      <c r="AS47" s="19"/>
      <c r="AT47" s="19"/>
      <c r="AU47" s="20"/>
      <c r="AV47" s="20"/>
    </row>
    <row r="48" spans="1:48" s="10" customFormat="1" ht="11.4">
      <c r="A48" s="17"/>
      <c r="B48" s="16" t="s">
        <v>174</v>
      </c>
      <c r="C48" s="19" t="str">
        <f>[1]!HsGetValue(conn,"Entity#"&amp;C$1&amp;";Account#"&amp;$A40&amp;大表科目本位幣調整AJE)</f>
        <v>#NEED_REFRESH</v>
      </c>
      <c r="D48" s="19"/>
      <c r="E48" s="19"/>
      <c r="F48" s="19"/>
      <c r="G48" s="19"/>
      <c r="H48" s="19"/>
      <c r="I48" s="19"/>
      <c r="J48" s="19"/>
      <c r="K48" s="19"/>
      <c r="L48" s="19"/>
      <c r="M48" s="19"/>
      <c r="N48" s="19"/>
      <c r="O48" s="19"/>
      <c r="P48" s="19"/>
      <c r="Q48" s="19"/>
      <c r="R48" s="19"/>
      <c r="S48" s="19"/>
      <c r="T48" s="19"/>
      <c r="U48" s="19"/>
      <c r="V48" s="19"/>
      <c r="W48" s="19"/>
      <c r="X48" s="19"/>
      <c r="Y48" s="19"/>
      <c r="Z48" s="19"/>
      <c r="AA48" s="19"/>
      <c r="AB48" s="19"/>
      <c r="AC48" s="19"/>
      <c r="AD48" s="19"/>
      <c r="AE48" s="19"/>
      <c r="AF48" s="19"/>
      <c r="AG48" s="19"/>
      <c r="AH48" s="19"/>
      <c r="AI48" s="19"/>
      <c r="AJ48" s="19"/>
      <c r="AK48" s="19"/>
      <c r="AL48" s="19"/>
      <c r="AM48" s="19"/>
      <c r="AN48" s="19"/>
      <c r="AO48" s="19"/>
      <c r="AP48" s="19"/>
      <c r="AQ48" s="19"/>
      <c r="AR48" s="19"/>
      <c r="AS48" s="19"/>
      <c r="AT48" s="19"/>
      <c r="AU48" s="20"/>
      <c r="AV48" s="20"/>
    </row>
    <row r="49" spans="1:48" s="10" customFormat="1" ht="11.4">
      <c r="A49" s="17"/>
      <c r="B49" s="16" t="s">
        <v>175</v>
      </c>
      <c r="C49" s="19" t="str">
        <f>[1]!HsGetValue(conn,"Entity#"&amp;C$1&amp;";Account#"&amp;$A41&amp;大表科目本位幣調整AJE)</f>
        <v>#NEED_REFRESH</v>
      </c>
      <c r="D49" s="19"/>
      <c r="E49" s="19"/>
      <c r="F49" s="19"/>
      <c r="G49" s="19"/>
      <c r="H49" s="19"/>
      <c r="I49" s="19"/>
      <c r="J49" s="19"/>
      <c r="K49" s="19"/>
      <c r="L49" s="19"/>
      <c r="M49" s="19"/>
      <c r="N49" s="19"/>
      <c r="O49" s="19"/>
      <c r="P49" s="19"/>
      <c r="Q49" s="19"/>
      <c r="R49" s="19"/>
      <c r="S49" s="19"/>
      <c r="T49" s="19"/>
      <c r="U49" s="19"/>
      <c r="V49" s="19"/>
      <c r="W49" s="19"/>
      <c r="X49" s="19"/>
      <c r="Y49" s="19"/>
      <c r="Z49" s="19"/>
      <c r="AA49" s="19"/>
      <c r="AB49" s="19"/>
      <c r="AC49" s="19"/>
      <c r="AD49" s="19"/>
      <c r="AE49" s="19"/>
      <c r="AF49" s="19"/>
      <c r="AG49" s="19"/>
      <c r="AH49" s="19"/>
      <c r="AI49" s="19"/>
      <c r="AJ49" s="19"/>
      <c r="AK49" s="19"/>
      <c r="AL49" s="19"/>
      <c r="AM49" s="19"/>
      <c r="AN49" s="19"/>
      <c r="AO49" s="19"/>
      <c r="AP49" s="19"/>
      <c r="AQ49" s="19"/>
      <c r="AR49" s="19"/>
      <c r="AS49" s="19"/>
      <c r="AT49" s="19"/>
      <c r="AU49" s="21"/>
      <c r="AV49" s="21"/>
    </row>
    <row r="50" spans="1:48" s="10" customFormat="1" ht="11.4">
      <c r="A50" s="17"/>
      <c r="B50" s="14" t="s">
        <v>176</v>
      </c>
      <c r="C50" s="19" t="str">
        <f>[1]!HsGetValue(conn,"Entity#"&amp;C$1&amp;";Account#"&amp;$A42&amp;大表科目本位幣調整AJE)</f>
        <v>#NEED_REFRESH</v>
      </c>
      <c r="D50" s="19"/>
      <c r="E50" s="19"/>
      <c r="F50" s="19"/>
      <c r="G50" s="19"/>
      <c r="H50" s="19"/>
      <c r="I50" s="19"/>
      <c r="J50" s="19"/>
      <c r="K50" s="19"/>
      <c r="L50" s="19"/>
      <c r="M50" s="19"/>
      <c r="N50" s="19"/>
      <c r="O50" s="19"/>
      <c r="P50" s="19"/>
      <c r="Q50" s="19"/>
      <c r="R50" s="19"/>
      <c r="S50" s="19"/>
      <c r="T50" s="19"/>
      <c r="U50" s="19"/>
      <c r="V50" s="19"/>
      <c r="W50" s="19"/>
      <c r="X50" s="19"/>
      <c r="Y50" s="19"/>
      <c r="Z50" s="19"/>
      <c r="AA50" s="19"/>
      <c r="AB50" s="19"/>
      <c r="AC50" s="19"/>
      <c r="AD50" s="19"/>
      <c r="AE50" s="19"/>
      <c r="AF50" s="19"/>
      <c r="AG50" s="19"/>
      <c r="AH50" s="19"/>
      <c r="AI50" s="19"/>
      <c r="AJ50" s="19"/>
      <c r="AK50" s="19"/>
      <c r="AL50" s="19"/>
      <c r="AM50" s="19"/>
      <c r="AN50" s="19"/>
      <c r="AO50" s="19"/>
      <c r="AP50" s="19"/>
      <c r="AQ50" s="19"/>
      <c r="AR50" s="19"/>
      <c r="AS50" s="19"/>
      <c r="AT50" s="19"/>
      <c r="AU50" s="20"/>
      <c r="AV50" s="20"/>
    </row>
    <row r="51" spans="1:48" s="10" customFormat="1" ht="11.4">
      <c r="A51" s="17"/>
      <c r="B51" s="14" t="s">
        <v>177</v>
      </c>
      <c r="C51" s="19" t="str">
        <f>[1]!HsGetValue(conn,"Entity#"&amp;C$1&amp;";Account#"&amp;$A43&amp;大表科目本位幣調整AJE)</f>
        <v>#NEED_REFRESH</v>
      </c>
      <c r="D51" s="19"/>
      <c r="E51" s="19"/>
      <c r="F51" s="19"/>
      <c r="G51" s="19"/>
      <c r="H51" s="19"/>
      <c r="I51" s="19"/>
      <c r="J51" s="19"/>
      <c r="K51" s="19"/>
      <c r="L51" s="19"/>
      <c r="M51" s="19"/>
      <c r="N51" s="19"/>
      <c r="O51" s="19"/>
      <c r="P51" s="19"/>
      <c r="Q51" s="19"/>
      <c r="R51" s="19"/>
      <c r="S51" s="19"/>
      <c r="T51" s="19"/>
      <c r="U51" s="19"/>
      <c r="V51" s="19"/>
      <c r="W51" s="19"/>
      <c r="X51" s="19"/>
      <c r="Y51" s="19"/>
      <c r="Z51" s="19"/>
      <c r="AA51" s="19"/>
      <c r="AB51" s="19"/>
      <c r="AC51" s="19"/>
      <c r="AD51" s="19"/>
      <c r="AE51" s="19"/>
      <c r="AF51" s="19"/>
      <c r="AG51" s="19"/>
      <c r="AH51" s="19"/>
      <c r="AI51" s="19"/>
      <c r="AJ51" s="19"/>
      <c r="AK51" s="19"/>
      <c r="AL51" s="19"/>
      <c r="AM51" s="19"/>
      <c r="AN51" s="19"/>
      <c r="AO51" s="19"/>
      <c r="AP51" s="19"/>
      <c r="AQ51" s="19"/>
      <c r="AR51" s="57"/>
      <c r="AS51" s="57"/>
      <c r="AT51" s="57"/>
      <c r="AU51" s="58"/>
      <c r="AV51" s="58"/>
    </row>
    <row r="52" spans="1:48" s="10" customFormat="1" ht="11.4">
      <c r="A52" s="17"/>
      <c r="B52" s="14" t="s">
        <v>178</v>
      </c>
      <c r="C52" s="19" t="str">
        <f>[1]!HsGetValue(conn,"Entity#"&amp;C$1&amp;";Account#"&amp;$A44&amp;大表科目本位幣調整AJE)</f>
        <v>#NEED_REFRESH</v>
      </c>
      <c r="D52" s="19"/>
      <c r="E52" s="19"/>
      <c r="F52" s="19"/>
      <c r="G52" s="19"/>
      <c r="H52" s="19"/>
      <c r="I52" s="19"/>
      <c r="J52" s="19"/>
      <c r="K52" s="19"/>
      <c r="L52" s="19"/>
      <c r="M52" s="19"/>
      <c r="N52" s="19"/>
      <c r="O52" s="19"/>
      <c r="P52" s="19"/>
      <c r="Q52" s="19"/>
      <c r="R52" s="19"/>
      <c r="S52" s="19"/>
      <c r="T52" s="19"/>
      <c r="U52" s="19"/>
      <c r="V52" s="19"/>
      <c r="W52" s="19"/>
      <c r="X52" s="19"/>
      <c r="Y52" s="19"/>
      <c r="Z52" s="19"/>
      <c r="AA52" s="19"/>
      <c r="AB52" s="19"/>
      <c r="AC52" s="19"/>
      <c r="AD52" s="19"/>
      <c r="AE52" s="19"/>
      <c r="AF52" s="19"/>
      <c r="AG52" s="19"/>
      <c r="AH52" s="19"/>
      <c r="AI52" s="19"/>
      <c r="AJ52" s="19"/>
      <c r="AK52" s="19"/>
      <c r="AL52" s="19"/>
      <c r="AM52" s="19"/>
      <c r="AN52" s="19"/>
      <c r="AO52" s="19"/>
      <c r="AP52" s="19"/>
      <c r="AQ52" s="19"/>
      <c r="AR52" s="57"/>
      <c r="AS52" s="57"/>
      <c r="AT52" s="57"/>
      <c r="AU52" s="58"/>
      <c r="AV52" s="58"/>
    </row>
    <row r="53" spans="1:48" s="10" customFormat="1" ht="11.4">
      <c r="A53" s="17"/>
      <c r="B53" s="16" t="s">
        <v>51</v>
      </c>
      <c r="C53" s="19">
        <f>SUM(C47:C52)</f>
        <v>0</v>
      </c>
      <c r="D53" s="19"/>
      <c r="E53" s="19"/>
      <c r="F53" s="19"/>
      <c r="G53" s="19"/>
      <c r="H53" s="19"/>
      <c r="I53" s="19"/>
      <c r="J53" s="19"/>
      <c r="K53" s="19"/>
      <c r="L53" s="19"/>
      <c r="M53" s="19"/>
      <c r="N53" s="19"/>
      <c r="O53" s="19"/>
      <c r="P53" s="19"/>
      <c r="Q53" s="19"/>
      <c r="R53" s="19"/>
      <c r="S53" s="19"/>
      <c r="T53" s="19"/>
      <c r="U53" s="19"/>
      <c r="V53" s="19"/>
      <c r="W53" s="19"/>
      <c r="X53" s="19"/>
      <c r="Y53" s="19"/>
      <c r="Z53" s="19"/>
      <c r="AA53" s="19"/>
      <c r="AB53" s="19"/>
      <c r="AC53" s="19"/>
      <c r="AD53" s="19"/>
      <c r="AE53" s="19"/>
      <c r="AF53" s="19"/>
      <c r="AG53" s="19"/>
      <c r="AH53" s="19"/>
      <c r="AI53" s="19"/>
      <c r="AJ53" s="19"/>
      <c r="AK53" s="19"/>
      <c r="AL53" s="19"/>
      <c r="AM53" s="19"/>
      <c r="AN53" s="19"/>
      <c r="AO53" s="19"/>
      <c r="AP53" s="19"/>
      <c r="AQ53" s="19"/>
      <c r="AR53" s="57"/>
      <c r="AS53" s="57"/>
      <c r="AT53" s="57"/>
      <c r="AU53" s="58"/>
      <c r="AV53" s="58"/>
    </row>
    <row r="54" spans="1:48" s="10" customFormat="1" ht="11.4">
      <c r="A54" s="17"/>
      <c r="B54" s="44" t="s">
        <v>105</v>
      </c>
      <c r="C54" s="19"/>
      <c r="D54" s="19"/>
      <c r="E54" s="19"/>
      <c r="F54" s="19"/>
      <c r="G54" s="19"/>
      <c r="H54" s="19"/>
      <c r="I54" s="19"/>
      <c r="J54" s="19"/>
      <c r="K54" s="19"/>
      <c r="L54" s="19"/>
      <c r="M54" s="19"/>
      <c r="N54" s="19"/>
      <c r="O54" s="19"/>
      <c r="P54" s="19"/>
      <c r="Q54" s="19"/>
      <c r="R54" s="19"/>
      <c r="S54" s="19"/>
      <c r="T54" s="19"/>
      <c r="U54" s="19"/>
      <c r="V54" s="19"/>
      <c r="W54" s="19"/>
      <c r="X54" s="19"/>
      <c r="Y54" s="19"/>
      <c r="Z54" s="19"/>
      <c r="AA54" s="19"/>
      <c r="AB54" s="19"/>
      <c r="AC54" s="19"/>
      <c r="AD54" s="19"/>
      <c r="AE54" s="19"/>
      <c r="AF54" s="19"/>
      <c r="AG54" s="19"/>
      <c r="AH54" s="19"/>
      <c r="AI54" s="19"/>
      <c r="AJ54" s="19"/>
      <c r="AK54" s="19"/>
      <c r="AL54" s="19"/>
      <c r="AM54" s="19"/>
      <c r="AN54" s="19"/>
      <c r="AO54" s="19"/>
      <c r="AP54" s="19"/>
      <c r="AQ54" s="19"/>
      <c r="AR54" s="57"/>
      <c r="AS54" s="42"/>
      <c r="AT54" s="42"/>
      <c r="AU54" s="43"/>
      <c r="AV54" s="43"/>
    </row>
    <row r="55" spans="1:48" s="10" customFormat="1" ht="12" customHeight="1">
      <c r="A55" s="17" t="s">
        <v>86</v>
      </c>
      <c r="B55" s="41" t="s">
        <v>164</v>
      </c>
      <c r="C55" s="19">
        <f t="array" ref="C55">IFERROR(-1*INDEX(關係人沖銷金額_本位幣!$1:$1048576,MATCH(C$1&amp;$A55,關係人沖銷金額_本位幣!$A:$A&amp;關係人沖銷金額_本位幣!$B:$B,0),MATCH("Total",關係人沖銷金額_本位幣!$1:$1,0)),0)</f>
        <v>0</v>
      </c>
      <c r="D55" s="57"/>
      <c r="E55" s="42"/>
      <c r="F55" s="42"/>
      <c r="G55" s="42"/>
      <c r="H55" s="42"/>
      <c r="I55" s="42"/>
      <c r="J55" s="42"/>
      <c r="K55" s="42"/>
      <c r="L55" s="42"/>
      <c r="M55" s="42"/>
      <c r="N55" s="42"/>
      <c r="O55" s="42"/>
      <c r="P55" s="42"/>
      <c r="Q55" s="42"/>
      <c r="R55" s="42"/>
      <c r="S55" s="42"/>
      <c r="T55" s="42"/>
      <c r="U55" s="42"/>
      <c r="V55" s="42"/>
      <c r="W55" s="42"/>
      <c r="X55" s="42"/>
      <c r="Y55" s="42"/>
      <c r="Z55" s="42"/>
      <c r="AA55" s="42"/>
      <c r="AB55" s="42"/>
      <c r="AC55" s="42"/>
      <c r="AD55" s="42"/>
      <c r="AE55" s="42"/>
      <c r="AF55" s="42"/>
      <c r="AG55" s="42"/>
      <c r="AH55" s="42"/>
      <c r="AI55" s="42"/>
      <c r="AJ55" s="42"/>
      <c r="AK55" s="42"/>
      <c r="AL55" s="42"/>
      <c r="AM55" s="42"/>
      <c r="AN55" s="42"/>
      <c r="AO55" s="42"/>
      <c r="AP55" s="42"/>
      <c r="AQ55" s="42"/>
      <c r="AR55" s="42"/>
      <c r="AS55" s="42"/>
      <c r="AT55" s="22"/>
      <c r="AU55" s="21"/>
      <c r="AV55" s="21"/>
    </row>
    <row r="56" spans="1:48" s="10" customFormat="1" ht="12" customHeight="1">
      <c r="A56" s="17">
        <v>141001</v>
      </c>
      <c r="B56" s="14" t="s">
        <v>179</v>
      </c>
      <c r="C56" s="19">
        <f t="array" ref="C56">IFERROR(-1*INDEX(關係人沖銷金額_本位幣!$1:$1048576,MATCH(C$1&amp;$A56,關係人沖銷金額_本位幣!$A:$A&amp;關係人沖銷金額_本位幣!$B:$B,0),MATCH("Total",關係人沖銷金額_本位幣!$1:$1,0)),0)</f>
        <v>0</v>
      </c>
      <c r="D56" s="42"/>
      <c r="E56" s="42"/>
      <c r="F56" s="42"/>
      <c r="G56" s="42"/>
      <c r="H56" s="42"/>
      <c r="I56" s="42"/>
      <c r="J56" s="42"/>
      <c r="K56" s="42"/>
      <c r="L56" s="42"/>
      <c r="M56" s="42"/>
      <c r="N56" s="42"/>
      <c r="O56" s="42"/>
      <c r="P56" s="42"/>
      <c r="Q56" s="42"/>
      <c r="R56" s="42"/>
      <c r="S56" s="42"/>
      <c r="T56" s="42"/>
      <c r="U56" s="42"/>
      <c r="V56" s="42"/>
      <c r="W56" s="42"/>
      <c r="X56" s="42"/>
      <c r="Y56" s="42"/>
      <c r="Z56" s="42"/>
      <c r="AA56" s="42"/>
      <c r="AB56" s="42"/>
      <c r="AC56" s="42"/>
      <c r="AD56" s="42"/>
      <c r="AE56" s="42"/>
      <c r="AF56" s="42"/>
      <c r="AG56" s="42"/>
      <c r="AH56" s="42"/>
      <c r="AI56" s="42"/>
      <c r="AJ56" s="42"/>
      <c r="AK56" s="42"/>
      <c r="AL56" s="42"/>
      <c r="AM56" s="42"/>
      <c r="AN56" s="42"/>
      <c r="AO56" s="42"/>
      <c r="AP56" s="42"/>
      <c r="AQ56" s="42"/>
      <c r="AR56" s="42"/>
      <c r="AS56" s="19"/>
      <c r="AT56" s="19"/>
      <c r="AU56" s="20"/>
      <c r="AV56" s="20"/>
    </row>
    <row r="57" spans="1:48" s="10" customFormat="1" ht="12" customHeight="1">
      <c r="A57" s="17"/>
      <c r="B57" s="16" t="s">
        <v>51</v>
      </c>
      <c r="C57" s="19">
        <f>SUM(C55:C56)</f>
        <v>0</v>
      </c>
      <c r="D57" s="42"/>
      <c r="E57" s="42"/>
      <c r="F57" s="42"/>
      <c r="G57" s="42"/>
      <c r="H57" s="42"/>
      <c r="I57" s="42"/>
      <c r="J57" s="42"/>
      <c r="K57" s="42"/>
      <c r="L57" s="42"/>
      <c r="M57" s="42"/>
      <c r="N57" s="42"/>
      <c r="O57" s="42"/>
      <c r="P57" s="42"/>
      <c r="Q57" s="42"/>
      <c r="R57" s="42"/>
      <c r="S57" s="42"/>
      <c r="T57" s="42"/>
      <c r="U57" s="42"/>
      <c r="V57" s="42"/>
      <c r="W57" s="42"/>
      <c r="X57" s="42"/>
      <c r="Y57" s="42"/>
      <c r="Z57" s="42"/>
      <c r="AA57" s="42"/>
      <c r="AB57" s="42"/>
      <c r="AC57" s="42"/>
      <c r="AD57" s="42"/>
      <c r="AE57" s="42"/>
      <c r="AF57" s="42"/>
      <c r="AG57" s="42"/>
      <c r="AH57" s="42"/>
      <c r="AI57" s="42"/>
      <c r="AJ57" s="42"/>
      <c r="AK57" s="42"/>
      <c r="AL57" s="42"/>
      <c r="AM57" s="42"/>
      <c r="AN57" s="42"/>
      <c r="AO57" s="42"/>
      <c r="AP57" s="42"/>
      <c r="AQ57" s="42"/>
      <c r="AR57" s="42"/>
      <c r="AS57" s="19"/>
      <c r="AT57" s="19"/>
      <c r="AU57" s="20"/>
      <c r="AV57" s="20"/>
    </row>
    <row r="58" spans="1:48" s="10" customFormat="1" ht="11.4">
      <c r="A58" s="17"/>
      <c r="B58" s="44" t="s">
        <v>106</v>
      </c>
      <c r="C58" s="19"/>
      <c r="D58" s="19"/>
      <c r="E58" s="19"/>
      <c r="F58" s="19"/>
      <c r="G58" s="19"/>
      <c r="H58" s="19"/>
      <c r="I58" s="19"/>
      <c r="J58" s="19"/>
      <c r="K58" s="19"/>
      <c r="L58" s="19"/>
      <c r="M58" s="19"/>
      <c r="N58" s="19"/>
      <c r="O58" s="19"/>
      <c r="P58" s="19"/>
      <c r="Q58" s="19"/>
      <c r="R58" s="19"/>
      <c r="S58" s="19"/>
      <c r="T58" s="19"/>
      <c r="U58" s="19"/>
      <c r="V58" s="19"/>
      <c r="W58" s="19"/>
      <c r="X58" s="19"/>
      <c r="Y58" s="19"/>
      <c r="Z58" s="19"/>
      <c r="AA58" s="19"/>
      <c r="AB58" s="19"/>
      <c r="AC58" s="19"/>
      <c r="AD58" s="19"/>
      <c r="AE58" s="19"/>
      <c r="AF58" s="19"/>
      <c r="AG58" s="19"/>
      <c r="AH58" s="19"/>
      <c r="AI58" s="19"/>
      <c r="AJ58" s="19"/>
      <c r="AK58" s="19"/>
      <c r="AL58" s="19"/>
      <c r="AM58" s="19"/>
      <c r="AN58" s="19"/>
      <c r="AO58" s="19"/>
      <c r="AP58" s="19"/>
      <c r="AQ58" s="19"/>
      <c r="AR58" s="19"/>
      <c r="AS58" s="22"/>
      <c r="AT58" s="22"/>
      <c r="AU58" s="21"/>
      <c r="AV58" s="21"/>
    </row>
    <row r="59" spans="1:48" s="10" customFormat="1" ht="12" customHeight="1">
      <c r="A59" s="17"/>
      <c r="B59" s="16" t="s">
        <v>162</v>
      </c>
      <c r="C59" s="19" t="e">
        <f>C39+C47</f>
        <v>#VALUE!</v>
      </c>
      <c r="D59" s="22"/>
      <c r="E59" s="22"/>
      <c r="F59" s="22"/>
      <c r="G59" s="22"/>
      <c r="H59" s="22"/>
      <c r="I59" s="22"/>
      <c r="J59" s="22"/>
      <c r="K59" s="22"/>
      <c r="L59" s="22"/>
      <c r="M59" s="22"/>
      <c r="N59" s="22"/>
      <c r="O59" s="22"/>
      <c r="P59" s="22"/>
      <c r="Q59" s="22"/>
      <c r="R59" s="22"/>
      <c r="S59" s="22"/>
      <c r="T59" s="22"/>
      <c r="U59" s="22"/>
      <c r="V59" s="22"/>
      <c r="W59" s="22"/>
      <c r="X59" s="22"/>
      <c r="Y59" s="22"/>
      <c r="Z59" s="22"/>
      <c r="AA59" s="22"/>
      <c r="AB59" s="22"/>
      <c r="AC59" s="22"/>
      <c r="AD59" s="22"/>
      <c r="AE59" s="22"/>
      <c r="AF59" s="22"/>
      <c r="AG59" s="22"/>
      <c r="AH59" s="22"/>
      <c r="AI59" s="22"/>
      <c r="AJ59" s="22"/>
      <c r="AK59" s="22"/>
      <c r="AL59" s="22"/>
      <c r="AM59" s="22"/>
      <c r="AN59" s="22"/>
      <c r="AO59" s="22"/>
      <c r="AP59" s="22"/>
      <c r="AQ59" s="22"/>
      <c r="AR59" s="22"/>
      <c r="AS59" s="22"/>
      <c r="AT59" s="22"/>
      <c r="AU59" s="21"/>
      <c r="AV59" s="21"/>
    </row>
    <row r="60" spans="1:48" s="10" customFormat="1" ht="12" customHeight="1">
      <c r="A60" s="17"/>
      <c r="B60" s="16" t="s">
        <v>164</v>
      </c>
      <c r="C60" s="19" t="e">
        <f>C40+C48+C55</f>
        <v>#VALUE!</v>
      </c>
      <c r="D60" s="22"/>
      <c r="E60" s="22"/>
      <c r="F60" s="22"/>
      <c r="G60" s="22"/>
      <c r="H60" s="22"/>
      <c r="I60" s="22"/>
      <c r="J60" s="22"/>
      <c r="K60" s="22"/>
      <c r="L60" s="22"/>
      <c r="M60" s="22"/>
      <c r="N60" s="22"/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22"/>
      <c r="AI60" s="22"/>
      <c r="AJ60" s="22"/>
      <c r="AK60" s="22"/>
      <c r="AL60" s="22"/>
      <c r="AM60" s="22"/>
      <c r="AN60" s="22"/>
      <c r="AO60" s="22"/>
      <c r="AP60" s="22"/>
      <c r="AQ60" s="22"/>
      <c r="AR60" s="22"/>
      <c r="AS60" s="22"/>
      <c r="AT60" s="22"/>
      <c r="AU60" s="21"/>
      <c r="AV60" s="21"/>
    </row>
    <row r="61" spans="1:48" s="10" customFormat="1" ht="12" customHeight="1">
      <c r="A61" s="17"/>
      <c r="B61" s="16" t="s">
        <v>166</v>
      </c>
      <c r="C61" s="19" t="e">
        <f>C41+C49+C56</f>
        <v>#VALUE!</v>
      </c>
      <c r="D61" s="22"/>
      <c r="E61" s="22"/>
      <c r="F61" s="22"/>
      <c r="G61" s="22"/>
      <c r="H61" s="22"/>
      <c r="I61" s="22"/>
      <c r="J61" s="22"/>
      <c r="K61" s="22"/>
      <c r="L61" s="22"/>
      <c r="M61" s="22"/>
      <c r="N61" s="22"/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  <c r="AF61" s="22"/>
      <c r="AG61" s="22"/>
      <c r="AH61" s="22"/>
      <c r="AI61" s="22"/>
      <c r="AJ61" s="22"/>
      <c r="AK61" s="22"/>
      <c r="AL61" s="22"/>
      <c r="AM61" s="22"/>
      <c r="AN61" s="22"/>
      <c r="AO61" s="22"/>
      <c r="AP61" s="22"/>
      <c r="AQ61" s="22"/>
      <c r="AR61" s="22"/>
      <c r="AS61" s="22"/>
      <c r="AT61" s="22"/>
      <c r="AU61" s="21"/>
      <c r="AV61" s="21"/>
    </row>
    <row r="62" spans="1:48" s="10" customFormat="1" ht="12" customHeight="1">
      <c r="A62" s="17"/>
      <c r="B62" s="16" t="s">
        <v>168</v>
      </c>
      <c r="C62" s="19" t="e">
        <f>C42+C50</f>
        <v>#VALUE!</v>
      </c>
      <c r="D62" s="22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2"/>
      <c r="AK62" s="22"/>
      <c r="AL62" s="22"/>
      <c r="AM62" s="22"/>
      <c r="AN62" s="22"/>
      <c r="AO62" s="22"/>
      <c r="AP62" s="22"/>
      <c r="AQ62" s="22"/>
      <c r="AR62" s="22"/>
      <c r="AS62" s="26"/>
      <c r="AT62" s="26"/>
      <c r="AU62" s="21"/>
      <c r="AV62" s="21"/>
    </row>
    <row r="63" spans="1:48" s="10" customFormat="1" ht="12" customHeight="1">
      <c r="A63" s="17"/>
      <c r="B63" s="16" t="s">
        <v>170</v>
      </c>
      <c r="C63" s="19" t="e">
        <f>C43+C51</f>
        <v>#VALUE!</v>
      </c>
      <c r="D63" s="22"/>
      <c r="E63" s="22"/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2"/>
      <c r="AK63" s="22"/>
      <c r="AL63" s="22"/>
      <c r="AM63" s="22"/>
      <c r="AN63" s="22"/>
      <c r="AO63" s="22"/>
      <c r="AP63" s="22"/>
      <c r="AQ63" s="22"/>
      <c r="AR63" s="22"/>
      <c r="AS63" s="26"/>
      <c r="AT63" s="26"/>
      <c r="AU63" s="21"/>
      <c r="AV63" s="21"/>
    </row>
    <row r="64" spans="1:48" s="10" customFormat="1" ht="12" customHeight="1">
      <c r="A64" s="17"/>
      <c r="B64" s="16" t="s">
        <v>172</v>
      </c>
      <c r="C64" s="19" t="e">
        <f>C44+C52</f>
        <v>#VALUE!</v>
      </c>
      <c r="D64" s="22"/>
      <c r="E64" s="22"/>
      <c r="F64" s="22"/>
      <c r="G64" s="22"/>
      <c r="H64" s="22"/>
      <c r="I64" s="22"/>
      <c r="J64" s="22"/>
      <c r="K64" s="22"/>
      <c r="L64" s="22"/>
      <c r="M64" s="22"/>
      <c r="N64" s="22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2"/>
      <c r="AK64" s="22"/>
      <c r="AL64" s="22"/>
      <c r="AM64" s="22"/>
      <c r="AN64" s="22"/>
      <c r="AO64" s="22"/>
      <c r="AP64" s="22"/>
      <c r="AQ64" s="22"/>
      <c r="AR64" s="22"/>
      <c r="AS64" s="26"/>
      <c r="AT64" s="26"/>
      <c r="AU64" s="21"/>
      <c r="AV64" s="21"/>
    </row>
    <row r="65" spans="1:48" s="10" customFormat="1" ht="12" customHeight="1">
      <c r="A65" s="17"/>
      <c r="B65" s="16" t="s">
        <v>51</v>
      </c>
      <c r="C65" s="19" t="e">
        <f>SUM(C59:C62)</f>
        <v>#VALUE!</v>
      </c>
      <c r="D65" s="22"/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  <c r="Q65" s="22"/>
      <c r="R65" s="22"/>
      <c r="S65" s="22"/>
      <c r="T65" s="22"/>
      <c r="U65" s="22"/>
      <c r="V65" s="22"/>
      <c r="W65" s="22"/>
      <c r="X65" s="22"/>
      <c r="Y65" s="22"/>
      <c r="Z65" s="22"/>
      <c r="AA65" s="22"/>
      <c r="AB65" s="22"/>
      <c r="AC65" s="22"/>
      <c r="AD65" s="22"/>
      <c r="AE65" s="22"/>
      <c r="AF65" s="22"/>
      <c r="AG65" s="22"/>
      <c r="AH65" s="22"/>
      <c r="AI65" s="22"/>
      <c r="AJ65" s="22"/>
      <c r="AK65" s="22"/>
      <c r="AL65" s="22"/>
      <c r="AM65" s="22"/>
      <c r="AN65" s="22"/>
      <c r="AO65" s="22"/>
      <c r="AP65" s="22"/>
      <c r="AQ65" s="22"/>
      <c r="AR65" s="22"/>
      <c r="AS65" s="26"/>
      <c r="AT65" s="26"/>
      <c r="AU65" s="21"/>
      <c r="AV65" s="21"/>
    </row>
    <row r="66" spans="1:48" s="10" customFormat="1" ht="12" customHeight="1">
      <c r="A66" s="17"/>
      <c r="B66" s="13" t="s">
        <v>54</v>
      </c>
      <c r="C66" s="62">
        <f>IF(C$3="USD",1,IF(C$3="NTD",1/[1]!HsGetValue(conn,USD換算成NTD的期末匯率),[1]!HsGetValue(conn,"Custom1#"&amp;C$3&amp;換算成USD的期末匯率)))</f>
        <v>1</v>
      </c>
      <c r="D66" s="61"/>
      <c r="E66" s="61">
        <f>IF(E$3="USD",1,IF(E$3="NTD",1/[1]!HsGetValue(conn,USD換算成NTD的期末匯率),[1]!HsGetValue(conn,"Custom1#"&amp;E$3&amp;換算成USD的期末匯率)))</f>
        <v>1</v>
      </c>
      <c r="F66" s="61">
        <f>IF(F$3="USD",1,IF(F$3="NTD",1/[1]!HsGetValue(conn,USD換算成NTD的期末匯率),[1]!HsGetValue(conn,"Custom1#"&amp;F$3&amp;換算成USD的期末匯率)))</f>
        <v>1</v>
      </c>
      <c r="G66" s="61" t="str">
        <f>IF(G$3="USD",1,IF(G$3="NTD",1/[1]!HsGetValue(conn,USD換算成NTD的期末匯率),[1]!HsGetValue(conn,"Custom1#"&amp;G$3&amp;換算成USD的期末匯率)))</f>
        <v>#NEED_REFRESH</v>
      </c>
      <c r="H66" s="61" t="str">
        <f>IF(H$3="USD",1,IF(H$3="NTD",1/[1]!HsGetValue(conn,USD換算成NTD的期末匯率),[1]!HsGetValue(conn,"Custom1#"&amp;H$3&amp;換算成USD的期末匯率)))</f>
        <v>#NEED_REFRESH</v>
      </c>
      <c r="I66" s="61" t="str">
        <f>IF(I$3="USD",1,IF(I$3="NTD",1/[1]!HsGetValue(conn,USD換算成NTD的期末匯率),[1]!HsGetValue(conn,"Custom1#"&amp;I$3&amp;換算成USD的期末匯率)))</f>
        <v>#NEED_REFRESH</v>
      </c>
      <c r="J66" s="61" t="str">
        <f>IF(J$3="USD",1,IF(J$3="NTD",1/[1]!HsGetValue(conn,USD換算成NTD的期末匯率),[1]!HsGetValue(conn,"Custom1#"&amp;J$3&amp;換算成USD的期末匯率)))</f>
        <v>#NEED_REFRESH</v>
      </c>
      <c r="K66" s="61" t="str">
        <f>IF(K$3="USD",1,IF(K$3="NTD",1/[1]!HsGetValue(conn,USD換算成NTD的期末匯率),[1]!HsGetValue(conn,"Custom1#"&amp;K$3&amp;換算成USD的期末匯率)))</f>
        <v>#NEED_REFRESH</v>
      </c>
      <c r="L66" s="61" t="str">
        <f>IF(L$3="USD",1,IF(L$3="NTD",1/[1]!HsGetValue(conn,USD換算成NTD的期末匯率),[1]!HsGetValue(conn,"Custom1#"&amp;L$3&amp;換算成USD的期末匯率)))</f>
        <v>#NEED_REFRESH</v>
      </c>
      <c r="M66" s="61">
        <f>IF(M$3="USD",1,IF(M$3="NTD",1/[1]!HsGetValue(conn,USD換算成NTD的期末匯率),[1]!HsGetValue(conn,"Custom1#"&amp;M$3&amp;換算成USD的期末匯率)))</f>
        <v>1</v>
      </c>
      <c r="N66" s="61" t="str">
        <f>IF(N$3="USD",1,IF(N$3="NTD",1/[1]!HsGetValue(conn,USD換算成NTD的期末匯率),[1]!HsGetValue(conn,"Custom1#"&amp;N$3&amp;換算成USD的期末匯率)))</f>
        <v>#NEED_REFRESH</v>
      </c>
      <c r="O66" s="61" t="str">
        <f>IF(O$3="USD",1,IF(O$3="NTD",1/[1]!HsGetValue(conn,USD換算成NTD的期末匯率),[1]!HsGetValue(conn,"Custom1#"&amp;O$3&amp;換算成USD的期末匯率)))</f>
        <v>#NEED_REFRESH</v>
      </c>
      <c r="P66" s="61" t="str">
        <f>IF(P$3="USD",1,IF(P$3="NTD",1/[1]!HsGetValue(conn,USD換算成NTD的期末匯率),[1]!HsGetValue(conn,"Custom1#"&amp;P$3&amp;換算成USD的期末匯率)))</f>
        <v>#NEED_REFRESH</v>
      </c>
      <c r="Q66" s="61" t="str">
        <f>IF(Q$3="USD",1,IF(Q$3="NTD",1/[1]!HsGetValue(conn,USD換算成NTD的期末匯率),[1]!HsGetValue(conn,"Custom1#"&amp;Q$3&amp;換算成USD的期末匯率)))</f>
        <v>#NEED_REFRESH</v>
      </c>
      <c r="R66" s="61" t="str">
        <f>IF(R$3="USD",1,IF(R$3="NTD",1/[1]!HsGetValue(conn,USD換算成NTD的期末匯率),[1]!HsGetValue(conn,"Custom1#"&amp;R$3&amp;換算成USD的期末匯率)))</f>
        <v>#NEED_REFRESH</v>
      </c>
      <c r="S66" s="61" t="str">
        <f>IF(S$3="USD",1,IF(S$3="NTD",1/[1]!HsGetValue(conn,USD換算成NTD的期末匯率),[1]!HsGetValue(conn,"Custom1#"&amp;S$3&amp;換算成USD的期末匯率)))</f>
        <v>#NEED_REFRESH</v>
      </c>
      <c r="T66" s="61" t="str">
        <f>IF(T$3="USD",1,IF(T$3="NTD",1/[1]!HsGetValue(conn,USD換算成NTD的期末匯率),[1]!HsGetValue(conn,"Custom1#"&amp;T$3&amp;換算成USD的期末匯率)))</f>
        <v>#NEED_REFRESH</v>
      </c>
      <c r="U66" s="61" t="str">
        <f>IF(U$3="USD",1,IF(U$3="NTD",1/[1]!HsGetValue(conn,USD換算成NTD的期末匯率),[1]!HsGetValue(conn,"Custom1#"&amp;U$3&amp;換算成USD的期末匯率)))</f>
        <v>#NEED_REFRESH</v>
      </c>
      <c r="V66" s="61" t="str">
        <f>IF(V$3="USD",1,IF(V$3="NTD",1/[1]!HsGetValue(conn,USD換算成NTD的期末匯率),[1]!HsGetValue(conn,"Custom1#"&amp;V$3&amp;換算成USD的期末匯率)))</f>
        <v>#NEED_REFRESH</v>
      </c>
      <c r="W66" s="61">
        <f>IF(W$3="USD",1,IF(W$3="NTD",1/[1]!HsGetValue(conn,USD換算成NTD的期末匯率),[1]!HsGetValue(conn,"Custom1#"&amp;W$3&amp;換算成USD的期末匯率)))</f>
        <v>1</v>
      </c>
      <c r="X66" s="61" t="str">
        <f>IF(X$3="USD",1,IF(X$3="NTD",1/[1]!HsGetValue(conn,USD換算成NTD的期末匯率),[1]!HsGetValue(conn,"Custom1#"&amp;X$3&amp;換算成USD的期末匯率)))</f>
        <v>#NEED_REFRESH</v>
      </c>
      <c r="Y66" s="61" t="str">
        <f>IF(Y$3="USD",1,IF(Y$3="NTD",1/[1]!HsGetValue(conn,USD換算成NTD的期末匯率),[1]!HsGetValue(conn,"Custom1#"&amp;Y$3&amp;換算成USD的期末匯率)))</f>
        <v>#NEED_REFRESH</v>
      </c>
      <c r="Z66" s="61" t="str">
        <f>IF(Z$3="USD",1,IF(Z$3="NTD",1/[1]!HsGetValue(conn,USD換算成NTD的期末匯率),[1]!HsGetValue(conn,"Custom1#"&amp;Z$3&amp;換算成USD的期末匯率)))</f>
        <v>#NEED_REFRESH</v>
      </c>
      <c r="AA66" s="61" t="str">
        <f>IF(AA$3="USD",1,IF(AA$3="NTD",1/[1]!HsGetValue(conn,USD換算成NTD的期末匯率),[1]!HsGetValue(conn,"Custom1#"&amp;AA$3&amp;換算成USD的期末匯率)))</f>
        <v>#NEED_REFRESH</v>
      </c>
      <c r="AB66" s="61" t="str">
        <f>IF(AB$3="USD",1,IF(AB$3="NTD",1/[1]!HsGetValue(conn,USD換算成NTD的期末匯率),[1]!HsGetValue(conn,"Custom1#"&amp;AB$3&amp;換算成USD的期末匯率)))</f>
        <v>#NEED_REFRESH</v>
      </c>
      <c r="AC66" s="61" t="str">
        <f>IF(AC$3="USD",1,IF(AC$3="NTD",1/[1]!HsGetValue(conn,USD換算成NTD的期末匯率),[1]!HsGetValue(conn,"Custom1#"&amp;AC$3&amp;換算成USD的期末匯率)))</f>
        <v>#NEED_REFRESH</v>
      </c>
      <c r="AD66" s="61" t="str">
        <f>IF(AD$3="USD",1,IF(AD$3="NTD",1/[1]!HsGetValue(conn,USD換算成NTD的期末匯率),[1]!HsGetValue(conn,"Custom1#"&amp;AD$3&amp;換算成USD的期末匯率)))</f>
        <v>#NEED_REFRESH</v>
      </c>
      <c r="AE66" s="61" t="str">
        <f>IF(AE$3="USD",1,IF(AE$3="NTD",1/[1]!HsGetValue(conn,USD換算成NTD的期末匯率),[1]!HsGetValue(conn,"Custom1#"&amp;AE$3&amp;換算成USD的期末匯率)))</f>
        <v>#NEED_REFRESH</v>
      </c>
      <c r="AF66" s="61">
        <f>IF(AF$3="USD",1,IF(AF$3="NTD",1/[1]!HsGetValue(conn,USD換算成NTD的期末匯率),[1]!HsGetValue(conn,"Custom1#"&amp;AF$3&amp;換算成USD的期末匯率)))</f>
        <v>1</v>
      </c>
      <c r="AG66" s="61">
        <f>IF(AG$3="USD",1,IF(AG$3="NTD",1/[1]!HsGetValue(conn,USD換算成NTD的期末匯率),[1]!HsGetValue(conn,"Custom1#"&amp;AG$3&amp;換算成USD的期末匯率)))</f>
        <v>1</v>
      </c>
      <c r="AH66" s="61">
        <f>IF(AH$3="USD",1,IF(AH$3="NTD",1/[1]!HsGetValue(conn,USD換算成NTD的期末匯率),[1]!HsGetValue(conn,"Custom1#"&amp;AH$3&amp;換算成USD的期末匯率)))</f>
        <v>1</v>
      </c>
      <c r="AI66" s="61">
        <f>IF(AI$3="USD",1,IF(AI$3="NTD",1/[1]!HsGetValue(conn,USD換算成NTD的期末匯率),[1]!HsGetValue(conn,"Custom1#"&amp;AI$3&amp;換算成USD的期末匯率)))</f>
        <v>1</v>
      </c>
      <c r="AJ66" s="61">
        <f>IF(AJ$3="USD",1,IF(AJ$3="NTD",1/[1]!HsGetValue(conn,USD換算成NTD的期末匯率),[1]!HsGetValue(conn,"Custom1#"&amp;AJ$3&amp;換算成USD的期末匯率)))</f>
        <v>1</v>
      </c>
      <c r="AK66" s="61" t="str">
        <f>IF(AK$3="USD",1,IF(AK$3="NTD",1/[1]!HsGetValue(conn,USD換算成NTD的期末匯率),[1]!HsGetValue(conn,"Custom1#"&amp;AK$3&amp;換算成USD的期末匯率)))</f>
        <v>#NEED_REFRESH</v>
      </c>
      <c r="AL66" s="61">
        <f>IF(AL$3="USD",1,IF(AL$3="NTD",1/[1]!HsGetValue(conn,USD換算成NTD的期末匯率),[1]!HsGetValue(conn,"Custom1#"&amp;AL$3&amp;換算成USD的期末匯率)))</f>
        <v>1</v>
      </c>
      <c r="AM66" s="61">
        <f>IF(AM$3="USD",1,IF(AM$3="NTD",1/[1]!HsGetValue(conn,USD換算成NTD的期末匯率),[1]!HsGetValue(conn,"Custom1#"&amp;AM$3&amp;換算成USD的期末匯率)))</f>
        <v>1</v>
      </c>
      <c r="AN66" s="61" t="e">
        <f>IF(AN$3="USD",1,IF(AN$3="NTD",1/[1]!HsGetValue(conn,USD換算成NTD的期末匯率),[1]!HsGetValue(conn,"Custom1#"&amp;AN$3&amp;換算成USD的期末匯率)))</f>
        <v>#VALUE!</v>
      </c>
      <c r="AO66" s="61">
        <f>IF(AO$3="USD",1,IF(AO$3="NTD",1/[1]!HsGetValue(conn,USD換算成NTD的期末匯率),[1]!HsGetValue(conn,"Custom1#"&amp;AO$3&amp;換算成USD的期末匯率)))</f>
        <v>1</v>
      </c>
      <c r="AP66" s="61">
        <f>IF(AP$3="USD",1,IF(AP$3="NTD",1/[1]!HsGetValue(conn,USD換算成NTD的期末匯率),[1]!HsGetValue(conn,"Custom1#"&amp;AP$3&amp;換算成USD的期末匯率)))</f>
        <v>1</v>
      </c>
      <c r="AQ66" s="61">
        <f>IF(AQ$3="USD",1,IF(AQ$3="NTD",1/[1]!HsGetValue(conn,USD換算成NTD的期末匯率),[1]!HsGetValue(conn,"Custom1#"&amp;AQ$3&amp;換算成USD的期末匯率)))</f>
        <v>1</v>
      </c>
      <c r="AR66" s="61">
        <f>IF(AR$3="USD",1,IF(AR$3="NTD",1/[1]!HsGetValue(conn,USD換算成NTD的期末匯率),[1]!HsGetValue(conn,"Custom1#"&amp;AR$3&amp;換算成USD的期末匯率)))</f>
        <v>1</v>
      </c>
      <c r="AS66" s="19"/>
      <c r="AT66" s="26"/>
      <c r="AU66" s="21"/>
      <c r="AV66" s="21"/>
    </row>
    <row r="67" spans="1:48" s="10" customFormat="1" ht="11.4">
      <c r="A67" s="17"/>
      <c r="B67" s="44" t="s">
        <v>107</v>
      </c>
      <c r="C67" s="19"/>
      <c r="D67" s="19"/>
      <c r="E67" s="19"/>
      <c r="F67" s="19"/>
      <c r="G67" s="19"/>
      <c r="H67" s="19"/>
      <c r="I67" s="19"/>
      <c r="J67" s="19"/>
      <c r="K67" s="19"/>
      <c r="L67" s="19"/>
      <c r="M67" s="19"/>
      <c r="N67" s="19"/>
      <c r="O67" s="19"/>
      <c r="P67" s="19"/>
      <c r="Q67" s="19"/>
      <c r="R67" s="19"/>
      <c r="S67" s="19"/>
      <c r="T67" s="19"/>
      <c r="U67" s="19"/>
      <c r="V67" s="19"/>
      <c r="W67" s="19"/>
      <c r="X67" s="19"/>
      <c r="Y67" s="19"/>
      <c r="Z67" s="19"/>
      <c r="AA67" s="19"/>
      <c r="AB67" s="19"/>
      <c r="AC67" s="19"/>
      <c r="AD67" s="19"/>
      <c r="AE67" s="19"/>
      <c r="AF67" s="19"/>
      <c r="AG67" s="19"/>
      <c r="AH67" s="19"/>
      <c r="AI67" s="19"/>
      <c r="AJ67" s="19"/>
      <c r="AK67" s="19"/>
      <c r="AL67" s="19"/>
      <c r="AM67" s="19"/>
      <c r="AN67" s="19"/>
      <c r="AO67" s="19"/>
      <c r="AP67" s="19"/>
      <c r="AQ67" s="19"/>
      <c r="AR67" s="19"/>
      <c r="AS67" s="19"/>
      <c r="AT67" s="19"/>
      <c r="AU67" s="20"/>
      <c r="AV67" s="20"/>
    </row>
    <row r="68" spans="1:48" s="10" customFormat="1" ht="12" customHeight="1">
      <c r="A68" s="17"/>
      <c r="B68" s="14" t="s">
        <v>162</v>
      </c>
      <c r="C68" s="19" t="e">
        <f t="shared" ref="C68:C73" si="1">C59*C$66</f>
        <v>#VALUE!</v>
      </c>
      <c r="D68" s="21"/>
      <c r="E68" s="21"/>
      <c r="F68" s="21"/>
      <c r="G68" s="21"/>
      <c r="H68" s="21"/>
      <c r="I68" s="21"/>
      <c r="J68" s="21"/>
      <c r="K68" s="21"/>
      <c r="L68" s="21"/>
      <c r="M68" s="21"/>
      <c r="N68" s="21"/>
      <c r="O68" s="21"/>
      <c r="P68" s="21"/>
      <c r="Q68" s="21"/>
      <c r="R68" s="21"/>
      <c r="S68" s="21"/>
      <c r="T68" s="21"/>
      <c r="U68" s="21"/>
      <c r="V68" s="21"/>
      <c r="W68" s="21"/>
      <c r="X68" s="21"/>
      <c r="Y68" s="21"/>
      <c r="Z68" s="21"/>
      <c r="AA68" s="21"/>
      <c r="AB68" s="21"/>
      <c r="AC68" s="21"/>
      <c r="AD68" s="21"/>
      <c r="AE68" s="21"/>
      <c r="AF68" s="21"/>
      <c r="AG68" s="21"/>
      <c r="AH68" s="21"/>
      <c r="AI68" s="21"/>
      <c r="AJ68" s="21"/>
      <c r="AK68" s="21"/>
      <c r="AL68" s="21"/>
      <c r="AM68" s="21"/>
      <c r="AN68" s="21"/>
      <c r="AO68" s="21"/>
      <c r="AP68" s="21"/>
      <c r="AQ68" s="21"/>
      <c r="AR68" s="22"/>
      <c r="AS68" s="19" t="e">
        <f t="shared" ref="AS68:AS74" si="2">SUM(C68:AQ68)</f>
        <v>#VALUE!</v>
      </c>
      <c r="AT68" s="21"/>
      <c r="AU68" s="21"/>
      <c r="AV68" s="21"/>
    </row>
    <row r="69" spans="1:48" s="10" customFormat="1" ht="12" customHeight="1">
      <c r="A69" s="17"/>
      <c r="B69" s="14" t="s">
        <v>164</v>
      </c>
      <c r="C69" s="19" t="e">
        <f t="shared" si="1"/>
        <v>#VALUE!</v>
      </c>
      <c r="D69" s="21"/>
      <c r="E69" s="21"/>
      <c r="F69" s="21"/>
      <c r="G69" s="21"/>
      <c r="H69" s="21"/>
      <c r="I69" s="21"/>
      <c r="J69" s="21"/>
      <c r="K69" s="21"/>
      <c r="L69" s="21"/>
      <c r="M69" s="21"/>
      <c r="N69" s="21"/>
      <c r="O69" s="21"/>
      <c r="P69" s="21"/>
      <c r="Q69" s="21"/>
      <c r="R69" s="21"/>
      <c r="S69" s="21"/>
      <c r="T69" s="21"/>
      <c r="U69" s="21"/>
      <c r="V69" s="21"/>
      <c r="W69" s="21"/>
      <c r="X69" s="21"/>
      <c r="Y69" s="21"/>
      <c r="Z69" s="21"/>
      <c r="AA69" s="21"/>
      <c r="AB69" s="21"/>
      <c r="AC69" s="21"/>
      <c r="AD69" s="21"/>
      <c r="AE69" s="21"/>
      <c r="AF69" s="21"/>
      <c r="AG69" s="21"/>
      <c r="AH69" s="21"/>
      <c r="AI69" s="21"/>
      <c r="AJ69" s="21"/>
      <c r="AK69" s="21"/>
      <c r="AL69" s="21"/>
      <c r="AM69" s="21"/>
      <c r="AN69" s="21"/>
      <c r="AO69" s="21"/>
      <c r="AP69" s="21"/>
      <c r="AQ69" s="21"/>
      <c r="AR69" s="22"/>
      <c r="AS69" s="19" t="e">
        <f t="shared" si="2"/>
        <v>#VALUE!</v>
      </c>
      <c r="AT69" s="21"/>
      <c r="AU69" s="21"/>
      <c r="AV69" s="21"/>
    </row>
    <row r="70" spans="1:48" s="10" customFormat="1" ht="12" customHeight="1">
      <c r="A70" s="17"/>
      <c r="B70" s="14" t="s">
        <v>166</v>
      </c>
      <c r="C70" s="19" t="e">
        <f t="shared" si="1"/>
        <v>#VALUE!</v>
      </c>
      <c r="D70" s="21"/>
      <c r="E70" s="21"/>
      <c r="F70" s="21"/>
      <c r="G70" s="21"/>
      <c r="H70" s="21"/>
      <c r="I70" s="21"/>
      <c r="J70" s="21"/>
      <c r="K70" s="21"/>
      <c r="L70" s="21"/>
      <c r="M70" s="21"/>
      <c r="N70" s="21"/>
      <c r="O70" s="21"/>
      <c r="P70" s="21"/>
      <c r="Q70" s="21"/>
      <c r="R70" s="21"/>
      <c r="S70" s="21"/>
      <c r="T70" s="21"/>
      <c r="U70" s="21"/>
      <c r="V70" s="21"/>
      <c r="W70" s="21"/>
      <c r="X70" s="21"/>
      <c r="Y70" s="21"/>
      <c r="Z70" s="21"/>
      <c r="AA70" s="21"/>
      <c r="AB70" s="21"/>
      <c r="AC70" s="21"/>
      <c r="AD70" s="21"/>
      <c r="AE70" s="21"/>
      <c r="AF70" s="21"/>
      <c r="AG70" s="21"/>
      <c r="AH70" s="21"/>
      <c r="AI70" s="21"/>
      <c r="AJ70" s="21"/>
      <c r="AK70" s="21"/>
      <c r="AL70" s="21"/>
      <c r="AM70" s="21"/>
      <c r="AN70" s="21"/>
      <c r="AO70" s="21"/>
      <c r="AP70" s="21"/>
      <c r="AQ70" s="21"/>
      <c r="AR70" s="22"/>
      <c r="AS70" s="19" t="e">
        <f t="shared" si="2"/>
        <v>#VALUE!</v>
      </c>
      <c r="AT70" s="21"/>
      <c r="AU70" s="21"/>
      <c r="AV70" s="21"/>
    </row>
    <row r="71" spans="1:48" s="10" customFormat="1" ht="12" customHeight="1">
      <c r="A71" s="17"/>
      <c r="B71" s="14" t="s">
        <v>168</v>
      </c>
      <c r="C71" s="19" t="e">
        <f t="shared" si="1"/>
        <v>#VALUE!</v>
      </c>
      <c r="D71" s="21"/>
      <c r="E71" s="21"/>
      <c r="F71" s="21"/>
      <c r="G71" s="21"/>
      <c r="H71" s="21"/>
      <c r="I71" s="21"/>
      <c r="J71" s="21"/>
      <c r="K71" s="21"/>
      <c r="L71" s="21"/>
      <c r="M71" s="21"/>
      <c r="N71" s="21"/>
      <c r="O71" s="21"/>
      <c r="P71" s="21"/>
      <c r="Q71" s="21"/>
      <c r="R71" s="21"/>
      <c r="S71" s="21"/>
      <c r="T71" s="21"/>
      <c r="U71" s="21"/>
      <c r="V71" s="21"/>
      <c r="W71" s="21"/>
      <c r="X71" s="21"/>
      <c r="Y71" s="21"/>
      <c r="Z71" s="21"/>
      <c r="AA71" s="21"/>
      <c r="AB71" s="21"/>
      <c r="AC71" s="21"/>
      <c r="AD71" s="21"/>
      <c r="AE71" s="21"/>
      <c r="AF71" s="21"/>
      <c r="AG71" s="21"/>
      <c r="AH71" s="21"/>
      <c r="AI71" s="21"/>
      <c r="AJ71" s="21"/>
      <c r="AK71" s="21"/>
      <c r="AL71" s="21"/>
      <c r="AM71" s="21"/>
      <c r="AN71" s="21"/>
      <c r="AO71" s="21"/>
      <c r="AP71" s="21"/>
      <c r="AQ71" s="21"/>
      <c r="AR71" s="22"/>
      <c r="AS71" s="19" t="e">
        <f t="shared" si="2"/>
        <v>#VALUE!</v>
      </c>
      <c r="AT71" s="21"/>
      <c r="AU71" s="21"/>
      <c r="AV71" s="21"/>
    </row>
    <row r="72" spans="1:48" s="10" customFormat="1" ht="12" customHeight="1">
      <c r="A72" s="17"/>
      <c r="B72" s="14" t="s">
        <v>170</v>
      </c>
      <c r="C72" s="19" t="e">
        <f t="shared" si="1"/>
        <v>#VALUE!</v>
      </c>
      <c r="D72" s="21"/>
      <c r="E72" s="21"/>
      <c r="F72" s="21"/>
      <c r="G72" s="21"/>
      <c r="H72" s="21"/>
      <c r="I72" s="21"/>
      <c r="J72" s="21"/>
      <c r="K72" s="21"/>
      <c r="L72" s="21"/>
      <c r="M72" s="21"/>
      <c r="N72" s="21"/>
      <c r="O72" s="21"/>
      <c r="P72" s="21"/>
      <c r="Q72" s="21"/>
      <c r="R72" s="21"/>
      <c r="S72" s="21"/>
      <c r="T72" s="21"/>
      <c r="U72" s="21"/>
      <c r="V72" s="21"/>
      <c r="W72" s="21"/>
      <c r="X72" s="21"/>
      <c r="Y72" s="21"/>
      <c r="Z72" s="21"/>
      <c r="AA72" s="21"/>
      <c r="AB72" s="21"/>
      <c r="AC72" s="21"/>
      <c r="AD72" s="21"/>
      <c r="AE72" s="21"/>
      <c r="AF72" s="21"/>
      <c r="AG72" s="21"/>
      <c r="AH72" s="21"/>
      <c r="AI72" s="21"/>
      <c r="AJ72" s="21"/>
      <c r="AK72" s="21"/>
      <c r="AL72" s="21"/>
      <c r="AM72" s="21"/>
      <c r="AN72" s="21"/>
      <c r="AO72" s="21"/>
      <c r="AP72" s="21"/>
      <c r="AQ72" s="21"/>
      <c r="AR72" s="22"/>
      <c r="AS72" s="19" t="e">
        <f t="shared" si="2"/>
        <v>#VALUE!</v>
      </c>
      <c r="AT72" s="21"/>
      <c r="AU72" s="21"/>
      <c r="AV72" s="21"/>
    </row>
    <row r="73" spans="1:48" s="10" customFormat="1" ht="12" customHeight="1">
      <c r="A73" s="17"/>
      <c r="B73" s="14" t="s">
        <v>172</v>
      </c>
      <c r="C73" s="19" t="e">
        <f t="shared" si="1"/>
        <v>#VALUE!</v>
      </c>
      <c r="D73" s="21"/>
      <c r="E73" s="21"/>
      <c r="F73" s="21"/>
      <c r="G73" s="21"/>
      <c r="H73" s="21"/>
      <c r="I73" s="21"/>
      <c r="J73" s="21"/>
      <c r="K73" s="21"/>
      <c r="L73" s="21"/>
      <c r="M73" s="21"/>
      <c r="N73" s="21"/>
      <c r="O73" s="21"/>
      <c r="P73" s="21"/>
      <c r="Q73" s="21"/>
      <c r="R73" s="21"/>
      <c r="S73" s="21"/>
      <c r="T73" s="21"/>
      <c r="U73" s="21"/>
      <c r="V73" s="21"/>
      <c r="W73" s="21"/>
      <c r="X73" s="21"/>
      <c r="Y73" s="21"/>
      <c r="Z73" s="21"/>
      <c r="AA73" s="21"/>
      <c r="AB73" s="21"/>
      <c r="AC73" s="21"/>
      <c r="AD73" s="21"/>
      <c r="AE73" s="21"/>
      <c r="AF73" s="21"/>
      <c r="AG73" s="21"/>
      <c r="AH73" s="21"/>
      <c r="AI73" s="21"/>
      <c r="AJ73" s="21"/>
      <c r="AK73" s="21"/>
      <c r="AL73" s="21"/>
      <c r="AM73" s="21"/>
      <c r="AN73" s="21"/>
      <c r="AO73" s="21"/>
      <c r="AP73" s="21"/>
      <c r="AQ73" s="21"/>
      <c r="AR73" s="22"/>
      <c r="AS73" s="19" t="e">
        <f t="shared" si="2"/>
        <v>#VALUE!</v>
      </c>
      <c r="AT73" s="21"/>
      <c r="AU73" s="21"/>
      <c r="AV73" s="21"/>
    </row>
    <row r="74" spans="1:48" s="10" customFormat="1" ht="12" customHeight="1">
      <c r="A74" s="17"/>
      <c r="B74" s="16" t="s">
        <v>51</v>
      </c>
      <c r="C74" s="19" t="e">
        <f>SUM(C68:C73)</f>
        <v>#VALUE!</v>
      </c>
      <c r="D74" s="21"/>
      <c r="E74" s="21"/>
      <c r="F74" s="21"/>
      <c r="G74" s="21"/>
      <c r="H74" s="21"/>
      <c r="I74" s="21"/>
      <c r="J74" s="21"/>
      <c r="K74" s="21"/>
      <c r="L74" s="21"/>
      <c r="M74" s="21"/>
      <c r="N74" s="21"/>
      <c r="O74" s="21"/>
      <c r="P74" s="21"/>
      <c r="Q74" s="21"/>
      <c r="R74" s="21"/>
      <c r="S74" s="21"/>
      <c r="T74" s="21"/>
      <c r="U74" s="21"/>
      <c r="V74" s="21"/>
      <c r="W74" s="21"/>
      <c r="X74" s="21"/>
      <c r="Y74" s="21"/>
      <c r="Z74" s="21"/>
      <c r="AA74" s="21"/>
      <c r="AB74" s="21"/>
      <c r="AC74" s="21"/>
      <c r="AD74" s="21"/>
      <c r="AE74" s="21"/>
      <c r="AF74" s="21"/>
      <c r="AG74" s="21"/>
      <c r="AH74" s="21"/>
      <c r="AI74" s="21"/>
      <c r="AJ74" s="21"/>
      <c r="AK74" s="21"/>
      <c r="AL74" s="21"/>
      <c r="AM74" s="21"/>
      <c r="AN74" s="21"/>
      <c r="AO74" s="21"/>
      <c r="AP74" s="21"/>
      <c r="AQ74" s="21"/>
      <c r="AR74" s="22"/>
      <c r="AS74" s="19" t="e">
        <f t="shared" si="2"/>
        <v>#VALUE!</v>
      </c>
      <c r="AT74" s="19" t="e">
        <f>[1]!HsGetValue(conn,"Entity#C60452;Account#"&amp;$A$39&amp;大表科目本位幣調整AJE)+[1]!HsGetValue(conn,"Entity#C60452;Account#"&amp;$A$40&amp;大表科目本位幣調整AJE)+[1]!HsGetValue(conn,"Entity#C60452;Account#"&amp;$A$41&amp;大表科目本位幣調整AJE)+[1]!HsGetValue(conn,"Entity#C60452;Account#"&amp;$A$42&amp;大表科目本位幣調整AJE)+[1]!HsGetValue(conn,"Entity#C60452;Account#"&amp;$A$43&amp;大表科目本位幣調整AJE)+[1]!HsGetValue(conn,"Entity#C60452;Account#"&amp;$A$44&amp;大表科目本位幣調整AJE)</f>
        <v>#VALUE!</v>
      </c>
      <c r="AU74" s="20" t="e">
        <f>AS74+AT74</f>
        <v>#VALUE!</v>
      </c>
      <c r="AV74" s="20" t="e">
        <f>ROUND(AU74/1000,)</f>
        <v>#VALUE!</v>
      </c>
    </row>
    <row r="75" spans="1:48" s="10" customFormat="1" ht="12" customHeight="1">
      <c r="A75" s="17"/>
      <c r="B75" s="13" t="s">
        <v>87</v>
      </c>
      <c r="C75" s="21"/>
      <c r="D75" s="21"/>
      <c r="E75" s="21"/>
      <c r="F75" s="21"/>
      <c r="G75" s="21"/>
      <c r="H75" s="21"/>
      <c r="I75" s="21"/>
      <c r="J75" s="21"/>
      <c r="K75" s="21"/>
      <c r="L75" s="21"/>
      <c r="M75" s="21"/>
      <c r="N75" s="21"/>
      <c r="O75" s="21"/>
      <c r="P75" s="21"/>
      <c r="Q75" s="21"/>
      <c r="R75" s="21"/>
      <c r="S75" s="21"/>
      <c r="T75" s="21"/>
      <c r="U75" s="21"/>
      <c r="V75" s="21"/>
      <c r="W75" s="21"/>
      <c r="X75" s="21"/>
      <c r="Y75" s="21"/>
      <c r="Z75" s="21"/>
      <c r="AA75" s="21"/>
      <c r="AB75" s="21"/>
      <c r="AC75" s="21"/>
      <c r="AD75" s="21"/>
      <c r="AE75" s="21"/>
      <c r="AF75" s="21"/>
      <c r="AG75" s="21"/>
      <c r="AH75" s="21"/>
      <c r="AI75" s="21"/>
      <c r="AJ75" s="21"/>
      <c r="AK75" s="21"/>
      <c r="AL75" s="21"/>
      <c r="AM75" s="21"/>
      <c r="AN75" s="21"/>
      <c r="AO75" s="21"/>
      <c r="AP75" s="21"/>
      <c r="AQ75" s="21"/>
      <c r="AR75" s="21"/>
      <c r="AS75" s="21"/>
      <c r="AT75" s="21"/>
      <c r="AU75" s="21" t="e">
        <f>[1]!HsGetValue(conn,"Entity#C60452;Account#"&amp;$A$39&amp;大表科目本位幣調整后)+[1]!HsGetValue(conn,"Entity#C60452;Account#"&amp;$A$40&amp;大表科目本位幣調整后)+[1]!HsGetValue(conn,"Entity#C60452;Account#"&amp;$A$41&amp;大表科目本位幣調整后)+[1]!HsGetValue(conn,"Entity#C60452;Account#"&amp;$A$42&amp;大表科目本位幣調整后)+[1]!HsGetValue(conn,"Entity#C60452;Account#"&amp;$A$43&amp;大表科目本位幣調整后)+[1]!HsGetValue(conn,"Entity#C60452;Account#"&amp;$A$44&amp;大表科目本位幣調整后)</f>
        <v>#VALUE!</v>
      </c>
      <c r="AV75" s="21"/>
    </row>
    <row r="76" spans="1:48" s="10" customFormat="1" ht="12" customHeight="1">
      <c r="A76" s="17"/>
      <c r="B76" s="13" t="s">
        <v>110</v>
      </c>
      <c r="C76" s="21"/>
      <c r="D76" s="21"/>
      <c r="E76" s="21"/>
      <c r="F76" s="21"/>
      <c r="G76" s="21"/>
      <c r="H76" s="21"/>
      <c r="I76" s="21"/>
      <c r="J76" s="21"/>
      <c r="K76" s="21"/>
      <c r="L76" s="21"/>
      <c r="M76" s="21"/>
      <c r="N76" s="21"/>
      <c r="O76" s="21"/>
      <c r="P76" s="21"/>
      <c r="Q76" s="21"/>
      <c r="R76" s="21"/>
      <c r="S76" s="21"/>
      <c r="T76" s="21"/>
      <c r="U76" s="21"/>
      <c r="V76" s="21"/>
      <c r="W76" s="21"/>
      <c r="X76" s="21"/>
      <c r="Y76" s="21"/>
      <c r="Z76" s="21"/>
      <c r="AA76" s="21"/>
      <c r="AB76" s="21"/>
      <c r="AC76" s="21"/>
      <c r="AD76" s="21"/>
      <c r="AE76" s="21"/>
      <c r="AF76" s="21"/>
      <c r="AG76" s="21"/>
      <c r="AH76" s="21"/>
      <c r="AI76" s="21"/>
      <c r="AJ76" s="21"/>
      <c r="AK76" s="21"/>
      <c r="AL76" s="21"/>
      <c r="AM76" s="21"/>
      <c r="AN76" s="21"/>
      <c r="AO76" s="21"/>
      <c r="AP76" s="21"/>
      <c r="AQ76" s="21"/>
      <c r="AR76" s="21"/>
      <c r="AS76" s="21"/>
      <c r="AT76" s="21"/>
      <c r="AU76" s="21" t="e">
        <f>AU74-AU75</f>
        <v>#VALUE!</v>
      </c>
      <c r="AV76" s="21"/>
    </row>
    <row r="77" spans="1:48" s="10" customFormat="1" ht="12" customHeight="1">
      <c r="A77" s="17"/>
      <c r="B77" s="13"/>
      <c r="C77" s="21"/>
      <c r="D77" s="21"/>
      <c r="E77" s="21"/>
      <c r="F77" s="21"/>
      <c r="G77" s="21"/>
      <c r="H77" s="21"/>
      <c r="I77" s="21"/>
      <c r="J77" s="21"/>
      <c r="K77" s="21"/>
      <c r="L77" s="21"/>
      <c r="M77" s="21"/>
      <c r="N77" s="21"/>
      <c r="O77" s="21"/>
      <c r="P77" s="21"/>
      <c r="Q77" s="21"/>
      <c r="R77" s="21"/>
      <c r="S77" s="21"/>
      <c r="T77" s="21"/>
      <c r="U77" s="21"/>
      <c r="V77" s="21"/>
      <c r="W77" s="21"/>
      <c r="X77" s="21"/>
      <c r="Y77" s="21"/>
      <c r="Z77" s="21"/>
      <c r="AA77" s="21"/>
      <c r="AB77" s="21"/>
      <c r="AC77" s="21"/>
      <c r="AD77" s="21"/>
      <c r="AE77" s="21"/>
      <c r="AF77" s="21"/>
      <c r="AG77" s="21"/>
      <c r="AH77" s="21"/>
      <c r="AI77" s="21"/>
      <c r="AJ77" s="21"/>
      <c r="AK77" s="21"/>
      <c r="AL77" s="21"/>
      <c r="AM77" s="21"/>
      <c r="AN77" s="21"/>
      <c r="AO77" s="21"/>
      <c r="AP77" s="21"/>
      <c r="AQ77" s="21"/>
      <c r="AR77" s="21"/>
      <c r="AS77" s="21"/>
      <c r="AT77" s="21"/>
      <c r="AU77" s="21"/>
      <c r="AV77" s="21"/>
    </row>
    <row r="78" spans="1:48" s="10" customFormat="1" ht="12" customHeight="1">
      <c r="A78" s="17"/>
      <c r="B78" s="13" t="s">
        <v>180</v>
      </c>
      <c r="C78" s="19" t="e">
        <f>C33+C74</f>
        <v>#VALUE!</v>
      </c>
      <c r="D78" s="21"/>
      <c r="E78" s="21"/>
      <c r="F78" s="21"/>
      <c r="G78" s="21"/>
      <c r="H78" s="21"/>
      <c r="I78" s="21"/>
      <c r="J78" s="21"/>
      <c r="K78" s="21"/>
      <c r="L78" s="21"/>
      <c r="M78" s="21"/>
      <c r="N78" s="21"/>
      <c r="O78" s="21"/>
      <c r="P78" s="21"/>
      <c r="Q78" s="21"/>
      <c r="R78" s="21"/>
      <c r="S78" s="21"/>
      <c r="T78" s="21"/>
      <c r="U78" s="21"/>
      <c r="V78" s="21"/>
      <c r="W78" s="21"/>
      <c r="X78" s="21"/>
      <c r="Y78" s="21"/>
      <c r="Z78" s="21"/>
      <c r="AA78" s="21"/>
      <c r="AB78" s="21"/>
      <c r="AC78" s="21"/>
      <c r="AD78" s="21"/>
      <c r="AE78" s="21"/>
      <c r="AF78" s="21"/>
      <c r="AG78" s="21"/>
      <c r="AH78" s="21"/>
      <c r="AI78" s="21"/>
      <c r="AJ78" s="21"/>
      <c r="AK78" s="21"/>
      <c r="AL78" s="21"/>
      <c r="AM78" s="21"/>
      <c r="AN78" s="21"/>
      <c r="AO78" s="21"/>
      <c r="AP78" s="21"/>
      <c r="AQ78" s="21"/>
      <c r="AR78" s="21"/>
      <c r="AS78" s="21"/>
      <c r="AT78" s="21"/>
      <c r="AU78" s="21"/>
      <c r="AV78" s="21"/>
    </row>
    <row r="79" spans="1:48" s="10" customFormat="1" ht="12" customHeight="1">
      <c r="A79" s="17"/>
      <c r="B79" s="83"/>
      <c r="C79" s="84"/>
      <c r="D79" s="84"/>
      <c r="E79" s="84"/>
      <c r="F79" s="84"/>
      <c r="G79" s="84"/>
      <c r="H79" s="84"/>
      <c r="I79" s="84"/>
      <c r="J79" s="84"/>
      <c r="K79" s="84"/>
      <c r="L79" s="84"/>
      <c r="M79" s="84"/>
      <c r="N79" s="84"/>
      <c r="O79" s="84"/>
      <c r="P79" s="84"/>
      <c r="Q79" s="84"/>
      <c r="R79" s="84"/>
      <c r="S79" s="84"/>
      <c r="T79" s="84"/>
      <c r="U79" s="84"/>
      <c r="V79" s="84"/>
      <c r="W79" s="84"/>
      <c r="X79" s="84"/>
      <c r="Y79" s="84"/>
      <c r="Z79" s="84"/>
      <c r="AA79" s="84"/>
      <c r="AB79" s="84"/>
      <c r="AC79" s="84"/>
      <c r="AD79" s="84"/>
      <c r="AE79" s="84"/>
      <c r="AF79" s="84"/>
      <c r="AG79" s="84"/>
      <c r="AH79" s="84"/>
      <c r="AI79" s="84"/>
      <c r="AJ79" s="84"/>
      <c r="AK79" s="84"/>
      <c r="AL79" s="84"/>
      <c r="AM79" s="84"/>
      <c r="AN79" s="84"/>
      <c r="AO79" s="84"/>
      <c r="AP79" s="84"/>
      <c r="AQ79" s="84"/>
      <c r="AR79" s="84"/>
      <c r="AS79" s="84"/>
      <c r="AT79" s="84"/>
      <c r="AU79" s="84"/>
      <c r="AV79" s="85"/>
    </row>
    <row r="80" spans="1:48" s="10" customFormat="1" ht="12" customHeight="1">
      <c r="A80" s="17"/>
      <c r="B80" s="75" t="s">
        <v>216</v>
      </c>
      <c r="C80" s="76" t="e">
        <f>SUM(#REF!)</f>
        <v>#REF!</v>
      </c>
      <c r="D80" s="76"/>
      <c r="E80" s="76" t="e">
        <f>SUM(#REF!)</f>
        <v>#REF!</v>
      </c>
      <c r="F80" s="76" t="e">
        <f>SUM(#REF!)</f>
        <v>#REF!</v>
      </c>
      <c r="G80" s="76" t="e">
        <f>SUM(#REF!)</f>
        <v>#REF!</v>
      </c>
      <c r="H80" s="76" t="e">
        <f>SUM(#REF!)</f>
        <v>#REF!</v>
      </c>
      <c r="I80" s="76" t="e">
        <f>SUM(#REF!)</f>
        <v>#REF!</v>
      </c>
      <c r="J80" s="76" t="e">
        <f>SUM(#REF!)</f>
        <v>#REF!</v>
      </c>
      <c r="K80" s="76" t="e">
        <f>SUM(#REF!)</f>
        <v>#REF!</v>
      </c>
      <c r="L80" s="76" t="e">
        <f>SUM(#REF!)</f>
        <v>#REF!</v>
      </c>
      <c r="M80" s="76" t="e">
        <f>SUM(#REF!)</f>
        <v>#REF!</v>
      </c>
      <c r="N80" s="76" t="e">
        <f>SUM(#REF!)</f>
        <v>#REF!</v>
      </c>
      <c r="O80" s="76" t="e">
        <f>SUM(#REF!)</f>
        <v>#REF!</v>
      </c>
      <c r="P80" s="76" t="e">
        <f>SUM(#REF!)</f>
        <v>#REF!</v>
      </c>
      <c r="Q80" s="76" t="e">
        <f>SUM(#REF!)</f>
        <v>#REF!</v>
      </c>
      <c r="R80" s="76" t="e">
        <f>SUM(#REF!)</f>
        <v>#REF!</v>
      </c>
      <c r="S80" s="76" t="e">
        <f>SUM(#REF!)</f>
        <v>#REF!</v>
      </c>
      <c r="T80" s="76" t="e">
        <f>SUM(#REF!)</f>
        <v>#REF!</v>
      </c>
      <c r="U80" s="76" t="e">
        <f>SUM(#REF!)</f>
        <v>#REF!</v>
      </c>
      <c r="V80" s="76" t="e">
        <f>SUM(#REF!)</f>
        <v>#REF!</v>
      </c>
      <c r="W80" s="76" t="e">
        <f>SUM(#REF!)</f>
        <v>#REF!</v>
      </c>
      <c r="X80" s="76" t="e">
        <f>SUM(#REF!)</f>
        <v>#REF!</v>
      </c>
      <c r="Y80" s="76" t="e">
        <f>SUM(#REF!)</f>
        <v>#REF!</v>
      </c>
      <c r="Z80" s="76" t="e">
        <f>SUM(#REF!)</f>
        <v>#REF!</v>
      </c>
      <c r="AA80" s="76" t="e">
        <f>SUM(#REF!)</f>
        <v>#REF!</v>
      </c>
      <c r="AB80" s="76" t="e">
        <f>SUM(#REF!)</f>
        <v>#REF!</v>
      </c>
      <c r="AC80" s="76" t="e">
        <f>SUM(#REF!)</f>
        <v>#REF!</v>
      </c>
      <c r="AD80" s="76" t="e">
        <f>SUM(#REF!)</f>
        <v>#REF!</v>
      </c>
      <c r="AE80" s="76" t="e">
        <f>SUM(#REF!)</f>
        <v>#REF!</v>
      </c>
      <c r="AF80" s="76" t="e">
        <f>SUM(#REF!)</f>
        <v>#REF!</v>
      </c>
      <c r="AG80" s="76" t="e">
        <f>SUM(#REF!)</f>
        <v>#REF!</v>
      </c>
      <c r="AH80" s="76" t="e">
        <f>SUM(#REF!)</f>
        <v>#REF!</v>
      </c>
      <c r="AI80" s="76" t="e">
        <f>SUM(#REF!)</f>
        <v>#REF!</v>
      </c>
      <c r="AJ80" s="76" t="e">
        <f>SUM(#REF!)</f>
        <v>#REF!</v>
      </c>
      <c r="AK80" s="76" t="e">
        <f>SUM(#REF!)</f>
        <v>#REF!</v>
      </c>
      <c r="AL80" s="76" t="e">
        <f>SUM(#REF!)</f>
        <v>#REF!</v>
      </c>
      <c r="AM80" s="76" t="e">
        <f>SUM(#REF!)</f>
        <v>#REF!</v>
      </c>
      <c r="AN80" s="76" t="e">
        <f>SUM(#REF!)</f>
        <v>#REF!</v>
      </c>
      <c r="AO80" s="76" t="e">
        <f>SUM(#REF!)</f>
        <v>#REF!</v>
      </c>
      <c r="AP80" s="76" t="e">
        <f>SUM(#REF!)</f>
        <v>#REF!</v>
      </c>
      <c r="AQ80" s="76" t="e">
        <f>SUM(#REF!)</f>
        <v>#REF!</v>
      </c>
      <c r="AR80" s="76"/>
      <c r="AS80" s="76"/>
      <c r="AT80" s="76" t="e">
        <f>SUM(C80:AQ80)</f>
        <v>#REF!</v>
      </c>
      <c r="AU80" s="76" t="e">
        <f>ROUND(AT80/1000,)</f>
        <v>#REF!</v>
      </c>
      <c r="AV80" s="77"/>
    </row>
    <row r="81" spans="1:48" ht="11.4">
      <c r="B81" s="81" t="s">
        <v>59</v>
      </c>
      <c r="C81" s="82"/>
      <c r="D81" s="82"/>
      <c r="E81" s="82"/>
      <c r="F81" s="82"/>
      <c r="G81" s="82"/>
      <c r="H81" s="82"/>
      <c r="I81" s="82"/>
      <c r="J81" s="82"/>
      <c r="K81" s="82"/>
      <c r="L81" s="82"/>
      <c r="M81" s="82"/>
      <c r="N81" s="82"/>
      <c r="O81" s="82"/>
      <c r="P81" s="82"/>
      <c r="Q81" s="82"/>
      <c r="R81" s="82"/>
      <c r="S81" s="82"/>
      <c r="T81" s="82"/>
      <c r="U81" s="82"/>
      <c r="V81" s="82"/>
      <c r="W81" s="82"/>
      <c r="X81" s="82"/>
      <c r="Y81" s="82"/>
      <c r="Z81" s="82"/>
      <c r="AA81" s="82"/>
      <c r="AB81" s="82"/>
      <c r="AC81" s="82"/>
      <c r="AD81" s="82"/>
      <c r="AE81" s="82"/>
      <c r="AF81" s="82"/>
      <c r="AG81" s="82"/>
      <c r="AH81" s="82"/>
      <c r="AI81" s="82"/>
      <c r="AJ81" s="82"/>
      <c r="AK81" s="82"/>
      <c r="AL81" s="82"/>
      <c r="AM81" s="82"/>
      <c r="AN81" s="82"/>
      <c r="AO81" s="82"/>
      <c r="AP81" s="82"/>
      <c r="AQ81" s="82"/>
      <c r="AR81" s="82"/>
      <c r="AS81" s="82"/>
      <c r="AT81" s="82"/>
      <c r="AU81" s="82"/>
      <c r="AV81" s="82"/>
    </row>
    <row r="82" spans="1:48" s="10" customFormat="1" ht="12" customHeight="1">
      <c r="A82" s="17"/>
      <c r="B82" s="14" t="s">
        <v>57</v>
      </c>
      <c r="C82" s="19">
        <f>SUMIFS(AR_Aging!$R:$R,AR_Aging!$C:$C,AR_Consol!C$1,AR_Aging!$J:$J,AR_Consol!$B82,AR_Aging!$G:$G,"非合併事業體及關係人")+SUMIFS(AR_Aging!$R:$R,AR_Aging!$C:$C,AR_Consol!C$1,AR_Aging!$J:$J,AR_Consol!$B82,AR_Aging!$G:$G,"第三方")+SUMIFS(AR_Aging!$R:$R,AR_Aging!$C:$C,AR_Consol!C$1,AR_Aging!$J:$J,AR_Consol!$B82,AR_Aging!$G:$G,"Related Party")+SUMIFS(AR_Aging!$R:$R,AR_Aging!$C:$C,AR_Consol!C$1,AR_Aging!$J:$J,AR_Consol!$B82,AR_Aging!$G:$G,"3rd party")</f>
        <v>0</v>
      </c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  <c r="AI82" s="22"/>
      <c r="AJ82" s="22"/>
      <c r="AK82" s="22"/>
      <c r="AL82" s="22"/>
      <c r="AM82" s="22"/>
      <c r="AN82" s="22"/>
      <c r="AO82" s="22"/>
      <c r="AP82" s="22"/>
      <c r="AQ82" s="22"/>
      <c r="AR82" s="22"/>
      <c r="AS82" s="19">
        <f>SUM(C82:AQ82)</f>
        <v>0</v>
      </c>
      <c r="AT82" s="21"/>
      <c r="AU82" s="21"/>
      <c r="AV82" s="21"/>
    </row>
    <row r="83" spans="1:48" s="10" customFormat="1" ht="12" customHeight="1">
      <c r="A83" s="17"/>
      <c r="B83" s="14" t="s">
        <v>181</v>
      </c>
      <c r="C83" s="19">
        <f>SUMIFS(AR_Aging!$R:$R,AR_Aging!$C:$C,AR_Consol!C$1,AR_Aging!$J:$J,AR_Consol!$B83,AR_Aging!$G:$G,"非合併事業體及關係人")+SUMIFS(AR_Aging!$R:$R,AR_Aging!$C:$C,AR_Consol!C$1,AR_Aging!$J:$J,AR_Consol!$B83,AR_Aging!$G:$G,"第三方")+SUMIFS(AR_Aging!$R:$R,AR_Aging!$C:$C,AR_Consol!C$1,AR_Aging!$J:$J,AR_Consol!$B83,AR_Aging!$G:$G,"Related Party")+SUMIFS(AR_Aging!$R:$R,AR_Aging!$C:$C,AR_Consol!C$1,AR_Aging!$J:$J,AR_Consol!$B83,AR_Aging!$G:$G,"3rd party")</f>
        <v>0</v>
      </c>
      <c r="D83" s="22"/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22"/>
      <c r="R83" s="22"/>
      <c r="S83" s="22"/>
      <c r="T83" s="22"/>
      <c r="U83" s="22"/>
      <c r="V83" s="22"/>
      <c r="W83" s="22"/>
      <c r="X83" s="22"/>
      <c r="Y83" s="22"/>
      <c r="Z83" s="22"/>
      <c r="AA83" s="22"/>
      <c r="AB83" s="22"/>
      <c r="AC83" s="22"/>
      <c r="AD83" s="22"/>
      <c r="AE83" s="22"/>
      <c r="AF83" s="22"/>
      <c r="AG83" s="22"/>
      <c r="AH83" s="22"/>
      <c r="AI83" s="22"/>
      <c r="AJ83" s="22"/>
      <c r="AK83" s="22"/>
      <c r="AL83" s="22"/>
      <c r="AM83" s="22"/>
      <c r="AN83" s="22"/>
      <c r="AO83" s="22"/>
      <c r="AP83" s="22"/>
      <c r="AQ83" s="22"/>
      <c r="AR83" s="22"/>
      <c r="AS83" s="19">
        <f t="shared" ref="AS83:AS116" si="3">SUM(C83:AQ83)</f>
        <v>0</v>
      </c>
      <c r="AT83" s="21"/>
      <c r="AU83" s="21"/>
      <c r="AV83" s="21"/>
    </row>
    <row r="84" spans="1:48" s="10" customFormat="1" ht="12" customHeight="1">
      <c r="A84" s="17"/>
      <c r="B84" s="14" t="s">
        <v>61</v>
      </c>
      <c r="C84" s="19">
        <f>SUMIFS(AR_Aging!$R:$R,AR_Aging!$C:$C,AR_Consol!C$1,AR_Aging!$J:$J,AR_Consol!$B84,AR_Aging!$G:$G,"非合併事業體及關係人")+SUMIFS(AR_Aging!$R:$R,AR_Aging!$C:$C,AR_Consol!C$1,AR_Aging!$J:$J,AR_Consol!$B84,AR_Aging!$G:$G,"第三方")+SUMIFS(AR_Aging!$R:$R,AR_Aging!$C:$C,AR_Consol!C$1,AR_Aging!$J:$J,AR_Consol!$B84,AR_Aging!$G:$G,"Related Party")+SUMIFS(AR_Aging!$R:$R,AR_Aging!$C:$C,AR_Consol!C$1,AR_Aging!$J:$J,AR_Consol!$B84,AR_Aging!$G:$G,"3rd party")</f>
        <v>0</v>
      </c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2"/>
      <c r="W84" s="22"/>
      <c r="X84" s="22"/>
      <c r="Y84" s="22"/>
      <c r="Z84" s="22"/>
      <c r="AA84" s="22"/>
      <c r="AB84" s="22"/>
      <c r="AC84" s="22"/>
      <c r="AD84" s="22"/>
      <c r="AE84" s="22"/>
      <c r="AF84" s="22"/>
      <c r="AG84" s="22"/>
      <c r="AH84" s="22"/>
      <c r="AI84" s="22"/>
      <c r="AJ84" s="22"/>
      <c r="AK84" s="22"/>
      <c r="AL84" s="22"/>
      <c r="AM84" s="22"/>
      <c r="AN84" s="22"/>
      <c r="AO84" s="22"/>
      <c r="AP84" s="22"/>
      <c r="AQ84" s="22"/>
      <c r="AR84" s="22"/>
      <c r="AS84" s="19">
        <f t="shared" si="3"/>
        <v>0</v>
      </c>
      <c r="AT84" s="21"/>
      <c r="AU84" s="21"/>
      <c r="AV84" s="21"/>
    </row>
    <row r="85" spans="1:48" s="10" customFormat="1" ht="12" customHeight="1">
      <c r="A85" s="17"/>
      <c r="B85" s="14" t="s">
        <v>68</v>
      </c>
      <c r="C85" s="19">
        <f>SUMIFS(AR_Aging!$R:$R,AR_Aging!$C:$C,AR_Consol!C$1,AR_Aging!$J:$J,AR_Consol!$B85,AR_Aging!$G:$G,"非合併事業體及關係人")+SUMIFS(AR_Aging!$R:$R,AR_Aging!$C:$C,AR_Consol!C$1,AR_Aging!$J:$J,AR_Consol!$B85,AR_Aging!$G:$G,"第三方")+SUMIFS(AR_Aging!$R:$R,AR_Aging!$C:$C,AR_Consol!C$1,AR_Aging!$J:$J,AR_Consol!$B85,AR_Aging!$G:$G,"Related Party")+SUMIFS(AR_Aging!$R:$R,AR_Aging!$C:$C,AR_Consol!C$1,AR_Aging!$J:$J,AR_Consol!$B85,AR_Aging!$G:$G,"3rd party")</f>
        <v>0</v>
      </c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  <c r="AF85" s="22"/>
      <c r="AG85" s="22"/>
      <c r="AH85" s="22"/>
      <c r="AI85" s="22"/>
      <c r="AJ85" s="22"/>
      <c r="AK85" s="22"/>
      <c r="AL85" s="22"/>
      <c r="AM85" s="22"/>
      <c r="AN85" s="22"/>
      <c r="AO85" s="22"/>
      <c r="AP85" s="22"/>
      <c r="AQ85" s="22"/>
      <c r="AR85" s="22"/>
      <c r="AS85" s="19">
        <f t="shared" si="3"/>
        <v>0</v>
      </c>
      <c r="AT85" s="21"/>
      <c r="AU85" s="21"/>
      <c r="AV85" s="21"/>
    </row>
    <row r="86" spans="1:48" s="10" customFormat="1" ht="12" customHeight="1">
      <c r="A86" s="17"/>
      <c r="B86" s="14" t="s">
        <v>182</v>
      </c>
      <c r="C86" s="19">
        <f>SUMIFS(AR_Aging!$R:$R,AR_Aging!$C:$C,AR_Consol!C$1,AR_Aging!$J:$J,AR_Consol!$B86,AR_Aging!$G:$G,"非合併事業體及關係人")+SUMIFS(AR_Aging!$R:$R,AR_Aging!$C:$C,AR_Consol!C$1,AR_Aging!$J:$J,AR_Consol!$B86,AR_Aging!$G:$G,"第三方")+SUMIFS(AR_Aging!$R:$R,AR_Aging!$C:$C,AR_Consol!C$1,AR_Aging!$J:$J,AR_Consol!$B86,AR_Aging!$G:$G,"Related Party")+SUMIFS(AR_Aging!$R:$R,AR_Aging!$C:$C,AR_Consol!C$1,AR_Aging!$J:$J,AR_Consol!$B86,AR_Aging!$G:$G,"3rd party")</f>
        <v>0</v>
      </c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  <c r="AI86" s="22"/>
      <c r="AJ86" s="22"/>
      <c r="AK86" s="22"/>
      <c r="AL86" s="22"/>
      <c r="AM86" s="22"/>
      <c r="AN86" s="22"/>
      <c r="AO86" s="22"/>
      <c r="AP86" s="22"/>
      <c r="AQ86" s="22"/>
      <c r="AR86" s="22"/>
      <c r="AS86" s="19">
        <f t="shared" si="3"/>
        <v>0</v>
      </c>
      <c r="AT86" s="21"/>
      <c r="AU86" s="21"/>
      <c r="AV86" s="21"/>
    </row>
    <row r="87" spans="1:48" s="10" customFormat="1" ht="12" customHeight="1">
      <c r="A87" s="17"/>
      <c r="B87" s="14" t="s">
        <v>60</v>
      </c>
      <c r="C87" s="19">
        <f>SUMIFS(AR_Aging!$R:$R,AR_Aging!$C:$C,AR_Consol!C$1,AR_Aging!$J:$J,AR_Consol!$B87,AR_Aging!$G:$G,"非合併事業體及關係人")+SUMIFS(AR_Aging!$R:$R,AR_Aging!$C:$C,AR_Consol!C$1,AR_Aging!$J:$J,AR_Consol!$B87,AR_Aging!$G:$G,"第三方")+SUMIFS(AR_Aging!$R:$R,AR_Aging!$C:$C,AR_Consol!C$1,AR_Aging!$J:$J,AR_Consol!$B87,AR_Aging!$G:$G,"Related Party")+SUMIFS(AR_Aging!$R:$R,AR_Aging!$C:$C,AR_Consol!C$1,AR_Aging!$J:$J,AR_Consol!$B87,AR_Aging!$G:$G,"3rd party")</f>
        <v>0</v>
      </c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  <c r="AF87" s="22"/>
      <c r="AG87" s="22"/>
      <c r="AH87" s="22"/>
      <c r="AI87" s="22"/>
      <c r="AJ87" s="22"/>
      <c r="AK87" s="22"/>
      <c r="AL87" s="22"/>
      <c r="AM87" s="22"/>
      <c r="AN87" s="22"/>
      <c r="AO87" s="22"/>
      <c r="AP87" s="22"/>
      <c r="AQ87" s="22"/>
      <c r="AR87" s="22"/>
      <c r="AS87" s="19">
        <f t="shared" si="3"/>
        <v>0</v>
      </c>
      <c r="AT87" s="21"/>
      <c r="AU87" s="21"/>
      <c r="AV87" s="21"/>
    </row>
    <row r="88" spans="1:48" s="10" customFormat="1" ht="12" customHeight="1">
      <c r="A88" s="17"/>
      <c r="B88" s="14" t="s">
        <v>66</v>
      </c>
      <c r="C88" s="19">
        <f>SUMIFS(AR_Aging!$R:$R,AR_Aging!$C:$C,AR_Consol!C$1,AR_Aging!$J:$J,AR_Consol!$B88,AR_Aging!$G:$G,"非合併事業體及關係人")+SUMIFS(AR_Aging!$R:$R,AR_Aging!$C:$C,AR_Consol!C$1,AR_Aging!$J:$J,AR_Consol!$B88,AR_Aging!$G:$G,"第三方")+SUMIFS(AR_Aging!$R:$R,AR_Aging!$C:$C,AR_Consol!C$1,AR_Aging!$J:$J,AR_Consol!$B88,AR_Aging!$G:$G,"Related Party")+SUMIFS(AR_Aging!$R:$R,AR_Aging!$C:$C,AR_Consol!C$1,AR_Aging!$J:$J,AR_Consol!$B88,AR_Aging!$G:$G,"3rd party")</f>
        <v>0</v>
      </c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  <c r="AD88" s="22"/>
      <c r="AE88" s="22"/>
      <c r="AF88" s="22"/>
      <c r="AG88" s="22"/>
      <c r="AH88" s="22"/>
      <c r="AI88" s="22"/>
      <c r="AJ88" s="22"/>
      <c r="AK88" s="22"/>
      <c r="AL88" s="22"/>
      <c r="AM88" s="22"/>
      <c r="AN88" s="22"/>
      <c r="AO88" s="22"/>
      <c r="AP88" s="22"/>
      <c r="AQ88" s="22"/>
      <c r="AR88" s="22"/>
      <c r="AS88" s="19">
        <f t="shared" si="3"/>
        <v>0</v>
      </c>
      <c r="AT88" s="21"/>
      <c r="AU88" s="21"/>
      <c r="AV88" s="21"/>
    </row>
    <row r="89" spans="1:48" s="10" customFormat="1" ht="12" customHeight="1">
      <c r="A89" s="17"/>
      <c r="B89" s="14" t="s">
        <v>69</v>
      </c>
      <c r="C89" s="19">
        <f>SUMIFS(AR_Aging!$R:$R,AR_Aging!$C:$C,AR_Consol!C$1,AR_Aging!$J:$J,AR_Consol!$B89,AR_Aging!$G:$G,"非合併事業體及關係人")+SUMIFS(AR_Aging!$R:$R,AR_Aging!$C:$C,AR_Consol!C$1,AR_Aging!$J:$J,AR_Consol!$B89,AR_Aging!$G:$G,"第三方")+SUMIFS(AR_Aging!$R:$R,AR_Aging!$C:$C,AR_Consol!C$1,AR_Aging!$J:$J,AR_Consol!$B89,AR_Aging!$G:$G,"Related Party")+SUMIFS(AR_Aging!$R:$R,AR_Aging!$C:$C,AR_Consol!C$1,AR_Aging!$J:$J,AR_Consol!$B89,AR_Aging!$G:$G,"3rd party")</f>
        <v>0</v>
      </c>
      <c r="D89" s="22"/>
      <c r="E89" s="22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22"/>
      <c r="R89" s="22"/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  <c r="AD89" s="22"/>
      <c r="AE89" s="22"/>
      <c r="AF89" s="22"/>
      <c r="AG89" s="22"/>
      <c r="AH89" s="22"/>
      <c r="AI89" s="22"/>
      <c r="AJ89" s="22"/>
      <c r="AK89" s="22"/>
      <c r="AL89" s="22"/>
      <c r="AM89" s="22"/>
      <c r="AN89" s="22"/>
      <c r="AO89" s="22"/>
      <c r="AP89" s="22"/>
      <c r="AQ89" s="22"/>
      <c r="AR89" s="22"/>
      <c r="AS89" s="19">
        <f t="shared" si="3"/>
        <v>0</v>
      </c>
      <c r="AT89" s="21"/>
      <c r="AU89" s="21"/>
      <c r="AV89" s="21"/>
    </row>
    <row r="90" spans="1:48" s="10" customFormat="1" ht="12" customHeight="1">
      <c r="A90" s="17"/>
      <c r="B90" s="14" t="s">
        <v>183</v>
      </c>
      <c r="C90" s="19">
        <f>SUMIFS(AR_Aging!$R:$R,AR_Aging!$C:$C,AR_Consol!C$1,AR_Aging!$J:$J,AR_Consol!$B90,AR_Aging!$G:$G,"非合併事業體及關係人")+SUMIFS(AR_Aging!$R:$R,AR_Aging!$C:$C,AR_Consol!C$1,AR_Aging!$J:$J,AR_Consol!$B90,AR_Aging!$G:$G,"第三方")+SUMIFS(AR_Aging!$R:$R,AR_Aging!$C:$C,AR_Consol!C$1,AR_Aging!$J:$J,AR_Consol!$B90,AR_Aging!$G:$G,"Related Party")+SUMIFS(AR_Aging!$R:$R,AR_Aging!$C:$C,AR_Consol!C$1,AR_Aging!$J:$J,AR_Consol!$B90,AR_Aging!$G:$G,"3rd party")</f>
        <v>0</v>
      </c>
      <c r="D90" s="22"/>
      <c r="E90" s="22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2"/>
      <c r="Q90" s="22"/>
      <c r="R90" s="22"/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  <c r="AD90" s="22"/>
      <c r="AE90" s="22"/>
      <c r="AF90" s="22"/>
      <c r="AG90" s="22"/>
      <c r="AH90" s="22"/>
      <c r="AI90" s="22"/>
      <c r="AJ90" s="22"/>
      <c r="AK90" s="22"/>
      <c r="AL90" s="22"/>
      <c r="AM90" s="22"/>
      <c r="AN90" s="22"/>
      <c r="AO90" s="22"/>
      <c r="AP90" s="22"/>
      <c r="AQ90" s="22"/>
      <c r="AR90" s="22"/>
      <c r="AS90" s="19">
        <f t="shared" si="3"/>
        <v>0</v>
      </c>
      <c r="AT90" s="21"/>
      <c r="AU90" s="21"/>
      <c r="AV90" s="21"/>
    </row>
    <row r="91" spans="1:48" s="10" customFormat="1" ht="12" customHeight="1">
      <c r="A91" s="17"/>
      <c r="B91" s="14" t="s">
        <v>184</v>
      </c>
      <c r="C91" s="19">
        <f>SUMIFS(AR_Aging!$R:$R,AR_Aging!$C:$C,AR_Consol!C$1,AR_Aging!$J:$J,AR_Consol!$B91,AR_Aging!$G:$G,"非合併事業體及關係人")+SUMIFS(AR_Aging!$R:$R,AR_Aging!$C:$C,AR_Consol!C$1,AR_Aging!$J:$J,AR_Consol!$B91,AR_Aging!$G:$G,"第三方")+SUMIFS(AR_Aging!$R:$R,AR_Aging!$C:$C,AR_Consol!C$1,AR_Aging!$J:$J,AR_Consol!$B91,AR_Aging!$G:$G,"Related Party")+SUMIFS(AR_Aging!$R:$R,AR_Aging!$C:$C,AR_Consol!C$1,AR_Aging!$J:$J,AR_Consol!$B91,AR_Aging!$G:$G,"3rd party")</f>
        <v>0</v>
      </c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2"/>
      <c r="AF91" s="22"/>
      <c r="AG91" s="22"/>
      <c r="AH91" s="22"/>
      <c r="AI91" s="22"/>
      <c r="AJ91" s="22"/>
      <c r="AK91" s="22"/>
      <c r="AL91" s="22"/>
      <c r="AM91" s="22"/>
      <c r="AN91" s="22"/>
      <c r="AO91" s="22"/>
      <c r="AP91" s="22"/>
      <c r="AQ91" s="22"/>
      <c r="AR91" s="22"/>
      <c r="AS91" s="19">
        <f t="shared" si="3"/>
        <v>0</v>
      </c>
      <c r="AT91" s="21"/>
      <c r="AU91" s="21"/>
      <c r="AV91" s="21"/>
    </row>
    <row r="92" spans="1:48" s="10" customFormat="1" ht="12" customHeight="1">
      <c r="A92" s="17"/>
      <c r="B92" s="14" t="s">
        <v>185</v>
      </c>
      <c r="C92" s="19">
        <f>SUMIFS(AR_Aging!$R:$R,AR_Aging!$C:$C,AR_Consol!C$1,AR_Aging!$J:$J,AR_Consol!$B92,AR_Aging!$G:$G,"非合併事業體及關係人")+SUMIFS(AR_Aging!$R:$R,AR_Aging!$C:$C,AR_Consol!C$1,AR_Aging!$J:$J,AR_Consol!$B92,AR_Aging!$G:$G,"第三方")+SUMIFS(AR_Aging!$R:$R,AR_Aging!$C:$C,AR_Consol!C$1,AR_Aging!$J:$J,AR_Consol!$B92,AR_Aging!$G:$G,"Related Party")+SUMIFS(AR_Aging!$R:$R,AR_Aging!$C:$C,AR_Consol!C$1,AR_Aging!$J:$J,AR_Consol!$B92,AR_Aging!$G:$G,"3rd party")</f>
        <v>0</v>
      </c>
      <c r="D92" s="22"/>
      <c r="E92" s="22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  <c r="Q92" s="22"/>
      <c r="R92" s="22"/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  <c r="AD92" s="22"/>
      <c r="AE92" s="22"/>
      <c r="AF92" s="22"/>
      <c r="AG92" s="22"/>
      <c r="AH92" s="22"/>
      <c r="AI92" s="22"/>
      <c r="AJ92" s="22"/>
      <c r="AK92" s="22"/>
      <c r="AL92" s="22"/>
      <c r="AM92" s="22"/>
      <c r="AN92" s="22"/>
      <c r="AO92" s="22"/>
      <c r="AP92" s="22"/>
      <c r="AQ92" s="22"/>
      <c r="AR92" s="22"/>
      <c r="AS92" s="19">
        <f t="shared" si="3"/>
        <v>0</v>
      </c>
      <c r="AT92" s="21"/>
      <c r="AU92" s="21"/>
      <c r="AV92" s="21"/>
    </row>
    <row r="93" spans="1:48" s="10" customFormat="1" ht="12" customHeight="1">
      <c r="A93" s="17"/>
      <c r="B93" s="14" t="s">
        <v>186</v>
      </c>
      <c r="C93" s="19">
        <f>SUMIFS(AR_Aging!$R:$R,AR_Aging!$C:$C,AR_Consol!C$1,AR_Aging!$J:$J,AR_Consol!$B93,AR_Aging!$G:$G,"非合併事業體及關係人")+SUMIFS(AR_Aging!$R:$R,AR_Aging!$C:$C,AR_Consol!C$1,AR_Aging!$J:$J,AR_Consol!$B93,AR_Aging!$G:$G,"第三方")+SUMIFS(AR_Aging!$R:$R,AR_Aging!$C:$C,AR_Consol!C$1,AR_Aging!$J:$J,AR_Consol!$B93,AR_Aging!$G:$G,"Related Party")+SUMIFS(AR_Aging!$R:$R,AR_Aging!$C:$C,AR_Consol!C$1,AR_Aging!$J:$J,AR_Consol!$B93,AR_Aging!$G:$G,"3rd party")</f>
        <v>0</v>
      </c>
      <c r="D93" s="22"/>
      <c r="E93" s="22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2"/>
      <c r="R93" s="22"/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  <c r="AF93" s="22"/>
      <c r="AG93" s="22"/>
      <c r="AH93" s="22"/>
      <c r="AI93" s="22"/>
      <c r="AJ93" s="22"/>
      <c r="AK93" s="22"/>
      <c r="AL93" s="22"/>
      <c r="AM93" s="22"/>
      <c r="AN93" s="22"/>
      <c r="AO93" s="22"/>
      <c r="AP93" s="22"/>
      <c r="AQ93" s="22"/>
      <c r="AR93" s="22"/>
      <c r="AS93" s="19">
        <f t="shared" si="3"/>
        <v>0</v>
      </c>
      <c r="AT93" s="21"/>
      <c r="AU93" s="21"/>
      <c r="AV93" s="21"/>
    </row>
    <row r="94" spans="1:48" s="10" customFormat="1" ht="12" customHeight="1">
      <c r="A94" s="17"/>
      <c r="B94" s="14" t="s">
        <v>187</v>
      </c>
      <c r="C94" s="19">
        <f>SUMIFS(AR_Aging!$R:$R,AR_Aging!$C:$C,AR_Consol!C$1,AR_Aging!$J:$J,AR_Consol!$B94,AR_Aging!$G:$G,"非合併事業體及關係人")+SUMIFS(AR_Aging!$R:$R,AR_Aging!$C:$C,AR_Consol!C$1,AR_Aging!$J:$J,AR_Consol!$B94,AR_Aging!$G:$G,"第三方")+SUMIFS(AR_Aging!$R:$R,AR_Aging!$C:$C,AR_Consol!C$1,AR_Aging!$J:$J,AR_Consol!$B94,AR_Aging!$G:$G,"Related Party")+SUMIFS(AR_Aging!$R:$R,AR_Aging!$C:$C,AR_Consol!C$1,AR_Aging!$J:$J,AR_Consol!$B94,AR_Aging!$G:$G,"3rd party")</f>
        <v>0</v>
      </c>
      <c r="D94" s="22"/>
      <c r="E94" s="22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/>
      <c r="AF94" s="22"/>
      <c r="AG94" s="22"/>
      <c r="AH94" s="22"/>
      <c r="AI94" s="22"/>
      <c r="AJ94" s="22"/>
      <c r="AK94" s="22"/>
      <c r="AL94" s="22"/>
      <c r="AM94" s="22"/>
      <c r="AN94" s="22"/>
      <c r="AO94" s="22"/>
      <c r="AP94" s="22"/>
      <c r="AQ94" s="22"/>
      <c r="AR94" s="22"/>
      <c r="AS94" s="19">
        <f t="shared" si="3"/>
        <v>0</v>
      </c>
      <c r="AT94" s="21"/>
      <c r="AU94" s="21"/>
      <c r="AV94" s="21"/>
    </row>
    <row r="95" spans="1:48" s="10" customFormat="1" ht="12" customHeight="1">
      <c r="A95" s="17"/>
      <c r="B95" s="14" t="s">
        <v>188</v>
      </c>
      <c r="C95" s="19">
        <f>SUMIFS(AR_Aging!$R:$R,AR_Aging!$C:$C,AR_Consol!C$1,AR_Aging!$J:$J,AR_Consol!$B95,AR_Aging!$G:$G,"非合併事業體及關係人")+SUMIFS(AR_Aging!$R:$R,AR_Aging!$C:$C,AR_Consol!C$1,AR_Aging!$J:$J,AR_Consol!$B95,AR_Aging!$G:$G,"第三方")+SUMIFS(AR_Aging!$R:$R,AR_Aging!$C:$C,AR_Consol!C$1,AR_Aging!$J:$J,AR_Consol!$B95,AR_Aging!$G:$G,"Related Party")+SUMIFS(AR_Aging!$R:$R,AR_Aging!$C:$C,AR_Consol!C$1,AR_Aging!$J:$J,AR_Consol!$B95,AR_Aging!$G:$G,"3rd party")</f>
        <v>0</v>
      </c>
      <c r="D95" s="22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22"/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  <c r="AD95" s="22"/>
      <c r="AE95" s="22"/>
      <c r="AF95" s="22"/>
      <c r="AG95" s="22"/>
      <c r="AH95" s="22"/>
      <c r="AI95" s="22"/>
      <c r="AJ95" s="22"/>
      <c r="AK95" s="22"/>
      <c r="AL95" s="22"/>
      <c r="AM95" s="22"/>
      <c r="AN95" s="22"/>
      <c r="AO95" s="22"/>
      <c r="AP95" s="22"/>
      <c r="AQ95" s="22"/>
      <c r="AR95" s="22"/>
      <c r="AS95" s="19">
        <f t="shared" si="3"/>
        <v>0</v>
      </c>
      <c r="AT95" s="21"/>
      <c r="AU95" s="21"/>
      <c r="AV95" s="21"/>
    </row>
    <row r="96" spans="1:48" s="10" customFormat="1" ht="12" customHeight="1">
      <c r="A96" s="17"/>
      <c r="B96" s="14" t="s">
        <v>70</v>
      </c>
      <c r="C96" s="19">
        <f>SUMIFS(AR_Aging!$R:$R,AR_Aging!$C:$C,AR_Consol!C$1,AR_Aging!$J:$J,AR_Consol!$B96,AR_Aging!$G:$G,"非合併事業體及關係人")+SUMIFS(AR_Aging!$R:$R,AR_Aging!$C:$C,AR_Consol!C$1,AR_Aging!$J:$J,AR_Consol!$B96,AR_Aging!$G:$G,"第三方")+SUMIFS(AR_Aging!$R:$R,AR_Aging!$C:$C,AR_Consol!C$1,AR_Aging!$J:$J,AR_Consol!$B96,AR_Aging!$G:$G,"Related Party")+SUMIFS(AR_Aging!$R:$R,AR_Aging!$C:$C,AR_Consol!C$1,AR_Aging!$J:$J,AR_Consol!$B96,AR_Aging!$G:$G,"3rd party")</f>
        <v>0</v>
      </c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22"/>
      <c r="AM96" s="22"/>
      <c r="AN96" s="22"/>
      <c r="AO96" s="22"/>
      <c r="AP96" s="22"/>
      <c r="AQ96" s="22"/>
      <c r="AR96" s="22"/>
      <c r="AS96" s="19">
        <f t="shared" si="3"/>
        <v>0</v>
      </c>
      <c r="AT96" s="21"/>
      <c r="AU96" s="21"/>
      <c r="AV96" s="21"/>
    </row>
    <row r="97" spans="1:48" s="10" customFormat="1" ht="12" customHeight="1">
      <c r="A97" s="17"/>
      <c r="B97" s="14" t="s">
        <v>189</v>
      </c>
      <c r="C97" s="19">
        <f>SUMIFS(AR_Aging!$R:$R,AR_Aging!$C:$C,AR_Consol!C$1,AR_Aging!$J:$J,AR_Consol!$B97,AR_Aging!$G:$G,"非合併事業體及關係人")+SUMIFS(AR_Aging!$R:$R,AR_Aging!$C:$C,AR_Consol!C$1,AR_Aging!$J:$J,AR_Consol!$B97,AR_Aging!$G:$G,"第三方")+SUMIFS(AR_Aging!$R:$R,AR_Aging!$C:$C,AR_Consol!C$1,AR_Aging!$J:$J,AR_Consol!$B97,AR_Aging!$G:$G,"Related Party")+SUMIFS(AR_Aging!$R:$R,AR_Aging!$C:$C,AR_Consol!C$1,AR_Aging!$J:$J,AR_Consol!$B97,AR_Aging!$G:$G,"3rd party")</f>
        <v>0</v>
      </c>
      <c r="D97" s="22"/>
      <c r="E97" s="22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22"/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  <c r="AF97" s="22"/>
      <c r="AG97" s="22"/>
      <c r="AH97" s="22"/>
      <c r="AI97" s="22"/>
      <c r="AJ97" s="22"/>
      <c r="AK97" s="22"/>
      <c r="AL97" s="22"/>
      <c r="AM97" s="22"/>
      <c r="AN97" s="22"/>
      <c r="AO97" s="22"/>
      <c r="AP97" s="22"/>
      <c r="AQ97" s="22"/>
      <c r="AR97" s="22"/>
      <c r="AS97" s="19">
        <f t="shared" si="3"/>
        <v>0</v>
      </c>
      <c r="AT97" s="21"/>
      <c r="AU97" s="21"/>
      <c r="AV97" s="21"/>
    </row>
    <row r="98" spans="1:48" s="10" customFormat="1" ht="12" customHeight="1">
      <c r="A98" s="17"/>
      <c r="B98" s="14" t="s">
        <v>190</v>
      </c>
      <c r="C98" s="19">
        <f>SUMIFS(AR_Aging!$R:$R,AR_Aging!$C:$C,AR_Consol!C$1,AR_Aging!$J:$J,AR_Consol!$B98,AR_Aging!$G:$G,"非合併事業體及關係人")+SUMIFS(AR_Aging!$R:$R,AR_Aging!$C:$C,AR_Consol!C$1,AR_Aging!$J:$J,AR_Consol!$B98,AR_Aging!$G:$G,"第三方")+SUMIFS(AR_Aging!$R:$R,AR_Aging!$C:$C,AR_Consol!C$1,AR_Aging!$J:$J,AR_Consol!$B98,AR_Aging!$G:$G,"Related Party")+SUMIFS(AR_Aging!$R:$R,AR_Aging!$C:$C,AR_Consol!C$1,AR_Aging!$J:$J,AR_Consol!$B98,AR_Aging!$G:$G,"3rd party")</f>
        <v>0</v>
      </c>
      <c r="D98" s="22"/>
      <c r="E98" s="22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/>
      <c r="AF98" s="22"/>
      <c r="AG98" s="22"/>
      <c r="AH98" s="22"/>
      <c r="AI98" s="22"/>
      <c r="AJ98" s="22"/>
      <c r="AK98" s="22"/>
      <c r="AL98" s="22"/>
      <c r="AM98" s="22"/>
      <c r="AN98" s="22"/>
      <c r="AO98" s="22"/>
      <c r="AP98" s="22"/>
      <c r="AQ98" s="22"/>
      <c r="AR98" s="22"/>
      <c r="AS98" s="19">
        <f t="shared" si="3"/>
        <v>0</v>
      </c>
      <c r="AT98" s="21"/>
      <c r="AU98" s="21"/>
      <c r="AV98" s="21"/>
    </row>
    <row r="99" spans="1:48" s="10" customFormat="1" ht="12" customHeight="1">
      <c r="A99" s="17"/>
      <c r="B99" s="14" t="s">
        <v>191</v>
      </c>
      <c r="C99" s="19">
        <f>SUMIFS(AR_Aging!$R:$R,AR_Aging!$C:$C,AR_Consol!C$1,AR_Aging!$J:$J,AR_Consol!$B99,AR_Aging!$G:$G,"非合併事業體及關係人")+SUMIFS(AR_Aging!$R:$R,AR_Aging!$C:$C,AR_Consol!C$1,AR_Aging!$J:$J,AR_Consol!$B99,AR_Aging!$G:$G,"第三方")+SUMIFS(AR_Aging!$R:$R,AR_Aging!$C:$C,AR_Consol!C$1,AR_Aging!$J:$J,AR_Consol!$B99,AR_Aging!$G:$G,"Related Party")+SUMIFS(AR_Aging!$R:$R,AR_Aging!$C:$C,AR_Consol!C$1,AR_Aging!$J:$J,AR_Consol!$B99,AR_Aging!$G:$G,"3rd party")</f>
        <v>0</v>
      </c>
      <c r="D99" s="22"/>
      <c r="E99" s="22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  <c r="AF99" s="22"/>
      <c r="AG99" s="22"/>
      <c r="AH99" s="22"/>
      <c r="AI99" s="22"/>
      <c r="AJ99" s="22"/>
      <c r="AK99" s="22"/>
      <c r="AL99" s="22"/>
      <c r="AM99" s="22"/>
      <c r="AN99" s="22"/>
      <c r="AO99" s="22"/>
      <c r="AP99" s="22"/>
      <c r="AQ99" s="22"/>
      <c r="AR99" s="22"/>
      <c r="AS99" s="19">
        <f t="shared" si="3"/>
        <v>0</v>
      </c>
      <c r="AT99" s="21"/>
      <c r="AU99" s="21"/>
      <c r="AV99" s="21"/>
    </row>
    <row r="100" spans="1:48" s="10" customFormat="1" ht="12" customHeight="1">
      <c r="A100" s="17"/>
      <c r="B100" s="14" t="s">
        <v>192</v>
      </c>
      <c r="C100" s="19">
        <f>SUMIFS(AR_Aging!$R:$R,AR_Aging!$C:$C,AR_Consol!C$1,AR_Aging!$J:$J,AR_Consol!$B100,AR_Aging!$G:$G,"非合併事業體及關係人")+SUMIFS(AR_Aging!$R:$R,AR_Aging!$C:$C,AR_Consol!C$1,AR_Aging!$J:$J,AR_Consol!$B100,AR_Aging!$G:$G,"第三方")+SUMIFS(AR_Aging!$R:$R,AR_Aging!$C:$C,AR_Consol!C$1,AR_Aging!$J:$J,AR_Consol!$B100,AR_Aging!$G:$G,"Related Party")+SUMIFS(AR_Aging!$R:$R,AR_Aging!$C:$C,AR_Consol!C$1,AR_Aging!$J:$J,AR_Consol!$B100,AR_Aging!$G:$G,"3rd party")</f>
        <v>0</v>
      </c>
      <c r="D100" s="22"/>
      <c r="E100" s="22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/>
      <c r="AF100" s="22"/>
      <c r="AG100" s="22"/>
      <c r="AH100" s="22"/>
      <c r="AI100" s="22"/>
      <c r="AJ100" s="22"/>
      <c r="AK100" s="22"/>
      <c r="AL100" s="22"/>
      <c r="AM100" s="22"/>
      <c r="AN100" s="22"/>
      <c r="AO100" s="22"/>
      <c r="AP100" s="22"/>
      <c r="AQ100" s="22"/>
      <c r="AR100" s="22"/>
      <c r="AS100" s="19">
        <f t="shared" si="3"/>
        <v>0</v>
      </c>
      <c r="AT100" s="21"/>
      <c r="AU100" s="21"/>
      <c r="AV100" s="21"/>
    </row>
    <row r="101" spans="1:48" s="10" customFormat="1" ht="12" customHeight="1">
      <c r="A101" s="17"/>
      <c r="B101" s="14" t="s">
        <v>193</v>
      </c>
      <c r="C101" s="19">
        <f>SUMIFS(AR_Aging!$R:$R,AR_Aging!$C:$C,AR_Consol!C$1,AR_Aging!$J:$J,AR_Consol!$B101,AR_Aging!$G:$G,"非合併事業體及關係人")+SUMIFS(AR_Aging!$R:$R,AR_Aging!$C:$C,AR_Consol!C$1,AR_Aging!$J:$J,AR_Consol!$B101,AR_Aging!$G:$G,"第三方")+SUMIFS(AR_Aging!$R:$R,AR_Aging!$C:$C,AR_Consol!C$1,AR_Aging!$J:$J,AR_Consol!$B101,AR_Aging!$G:$G,"Related Party")+SUMIFS(AR_Aging!$R:$R,AR_Aging!$C:$C,AR_Consol!C$1,AR_Aging!$J:$J,AR_Consol!$B101,AR_Aging!$G:$G,"3rd party")</f>
        <v>0</v>
      </c>
      <c r="D101" s="22"/>
      <c r="E101" s="22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22"/>
      <c r="R101" s="22"/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  <c r="AD101" s="22"/>
      <c r="AE101" s="22"/>
      <c r="AF101" s="22"/>
      <c r="AG101" s="22"/>
      <c r="AH101" s="22"/>
      <c r="AI101" s="22"/>
      <c r="AJ101" s="22"/>
      <c r="AK101" s="22"/>
      <c r="AL101" s="22"/>
      <c r="AM101" s="22"/>
      <c r="AN101" s="22"/>
      <c r="AO101" s="22"/>
      <c r="AP101" s="22"/>
      <c r="AQ101" s="22"/>
      <c r="AR101" s="22"/>
      <c r="AS101" s="19">
        <f t="shared" si="3"/>
        <v>0</v>
      </c>
      <c r="AT101" s="21"/>
      <c r="AU101" s="21"/>
      <c r="AV101" s="21"/>
    </row>
    <row r="102" spans="1:48" s="10" customFormat="1" ht="12" customHeight="1">
      <c r="A102" s="17"/>
      <c r="B102" s="14" t="s">
        <v>194</v>
      </c>
      <c r="C102" s="19">
        <f>SUMIFS(AR_Aging!$R:$R,AR_Aging!$C:$C,AR_Consol!C$1,AR_Aging!$J:$J,AR_Consol!$B102,AR_Aging!$G:$G,"非合併事業體及關係人")+SUMIFS(AR_Aging!$R:$R,AR_Aging!$C:$C,AR_Consol!C$1,AR_Aging!$J:$J,AR_Consol!$B102,AR_Aging!$G:$G,"第三方")+SUMIFS(AR_Aging!$R:$R,AR_Aging!$C:$C,AR_Consol!C$1,AR_Aging!$J:$J,AR_Consol!$B102,AR_Aging!$G:$G,"Related Party")+SUMIFS(AR_Aging!$R:$R,AR_Aging!$C:$C,AR_Consol!C$1,AR_Aging!$J:$J,AR_Consol!$B102,AR_Aging!$G:$G,"3rd party")</f>
        <v>0</v>
      </c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/>
      <c r="AF102" s="22"/>
      <c r="AG102" s="22"/>
      <c r="AH102" s="22"/>
      <c r="AI102" s="22"/>
      <c r="AJ102" s="22"/>
      <c r="AK102" s="22"/>
      <c r="AL102" s="22"/>
      <c r="AM102" s="22"/>
      <c r="AN102" s="22"/>
      <c r="AO102" s="22"/>
      <c r="AP102" s="22"/>
      <c r="AQ102" s="22"/>
      <c r="AR102" s="22"/>
      <c r="AS102" s="19">
        <f t="shared" si="3"/>
        <v>0</v>
      </c>
      <c r="AT102" s="21"/>
      <c r="AU102" s="21"/>
      <c r="AV102" s="21"/>
    </row>
    <row r="103" spans="1:48" s="10" customFormat="1" ht="12" customHeight="1">
      <c r="A103" s="17"/>
      <c r="B103" s="14" t="s">
        <v>195</v>
      </c>
      <c r="C103" s="19">
        <f>SUMIFS(AR_Aging!$R:$R,AR_Aging!$C:$C,AR_Consol!C$1,AR_Aging!$J:$J,AR_Consol!$B103,AR_Aging!$G:$G,"非合併事業體及關係人")+SUMIFS(AR_Aging!$R:$R,AR_Aging!$C:$C,AR_Consol!C$1,AR_Aging!$J:$J,AR_Consol!$B103,AR_Aging!$G:$G,"第三方")+SUMIFS(AR_Aging!$R:$R,AR_Aging!$C:$C,AR_Consol!C$1,AR_Aging!$J:$J,AR_Consol!$B103,AR_Aging!$G:$G,"Related Party")+SUMIFS(AR_Aging!$R:$R,AR_Aging!$C:$C,AR_Consol!C$1,AR_Aging!$J:$J,AR_Consol!$B103,AR_Aging!$G:$G,"3rd party")</f>
        <v>0</v>
      </c>
      <c r="D103" s="22"/>
      <c r="E103" s="22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2"/>
      <c r="R103" s="22"/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  <c r="AF103" s="22"/>
      <c r="AG103" s="22"/>
      <c r="AH103" s="22"/>
      <c r="AI103" s="22"/>
      <c r="AJ103" s="22"/>
      <c r="AK103" s="22"/>
      <c r="AL103" s="22"/>
      <c r="AM103" s="22"/>
      <c r="AN103" s="22"/>
      <c r="AO103" s="22"/>
      <c r="AP103" s="22"/>
      <c r="AQ103" s="22"/>
      <c r="AR103" s="22"/>
      <c r="AS103" s="19">
        <f t="shared" si="3"/>
        <v>0</v>
      </c>
      <c r="AT103" s="21"/>
      <c r="AU103" s="21"/>
      <c r="AV103" s="21"/>
    </row>
    <row r="104" spans="1:48" s="10" customFormat="1" ht="12" customHeight="1">
      <c r="A104" s="17"/>
      <c r="B104" s="14" t="s">
        <v>196</v>
      </c>
      <c r="C104" s="19">
        <f>SUMIFS(AR_Aging!$R:$R,AR_Aging!$C:$C,AR_Consol!C$1,AR_Aging!$J:$J,AR_Consol!$B104,AR_Aging!$G:$G,"非合併事業體及關係人")+SUMIFS(AR_Aging!$R:$R,AR_Aging!$C:$C,AR_Consol!C$1,AR_Aging!$J:$J,AR_Consol!$B104,AR_Aging!$G:$G,"第三方")+SUMIFS(AR_Aging!$R:$R,AR_Aging!$C:$C,AR_Consol!C$1,AR_Aging!$J:$J,AR_Consol!$B104,AR_Aging!$G:$G,"Related Party")+SUMIFS(AR_Aging!$R:$R,AR_Aging!$C:$C,AR_Consol!C$1,AR_Aging!$J:$J,AR_Consol!$B104,AR_Aging!$G:$G,"3rd party")</f>
        <v>0</v>
      </c>
      <c r="D104" s="22"/>
      <c r="E104" s="22"/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2"/>
      <c r="Q104" s="22"/>
      <c r="R104" s="22"/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  <c r="AD104" s="22"/>
      <c r="AE104" s="22"/>
      <c r="AF104" s="22"/>
      <c r="AG104" s="22"/>
      <c r="AH104" s="22"/>
      <c r="AI104" s="22"/>
      <c r="AJ104" s="22"/>
      <c r="AK104" s="22"/>
      <c r="AL104" s="22"/>
      <c r="AM104" s="22"/>
      <c r="AN104" s="22"/>
      <c r="AO104" s="22"/>
      <c r="AP104" s="22"/>
      <c r="AQ104" s="22"/>
      <c r="AR104" s="22"/>
      <c r="AS104" s="19">
        <f t="shared" si="3"/>
        <v>0</v>
      </c>
      <c r="AT104" s="21"/>
      <c r="AU104" s="21"/>
      <c r="AV104" s="21"/>
    </row>
    <row r="105" spans="1:48" s="10" customFormat="1" ht="12" customHeight="1">
      <c r="A105" s="17"/>
      <c r="B105" s="14" t="s">
        <v>197</v>
      </c>
      <c r="C105" s="19">
        <f>SUMIFS(AR_Aging!$R:$R,AR_Aging!$C:$C,AR_Consol!C$1,AR_Aging!$J:$J,AR_Consol!$B105,AR_Aging!$G:$G,"非合併事業體及關係人")+SUMIFS(AR_Aging!$R:$R,AR_Aging!$C:$C,AR_Consol!C$1,AR_Aging!$J:$J,AR_Consol!$B105,AR_Aging!$G:$G,"第三方")+SUMIFS(AR_Aging!$R:$R,AR_Aging!$C:$C,AR_Consol!C$1,AR_Aging!$J:$J,AR_Consol!$B105,AR_Aging!$G:$G,"Related Party")+SUMIFS(AR_Aging!$R:$R,AR_Aging!$C:$C,AR_Consol!C$1,AR_Aging!$J:$J,AR_Consol!$B105,AR_Aging!$G:$G,"3rd party")</f>
        <v>0</v>
      </c>
      <c r="D105" s="22"/>
      <c r="E105" s="22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  <c r="AF105" s="22"/>
      <c r="AG105" s="22"/>
      <c r="AH105" s="22"/>
      <c r="AI105" s="22"/>
      <c r="AJ105" s="22"/>
      <c r="AK105" s="22"/>
      <c r="AL105" s="22"/>
      <c r="AM105" s="22"/>
      <c r="AN105" s="22"/>
      <c r="AO105" s="22"/>
      <c r="AP105" s="22"/>
      <c r="AQ105" s="22"/>
      <c r="AR105" s="22"/>
      <c r="AS105" s="19">
        <f t="shared" si="3"/>
        <v>0</v>
      </c>
      <c r="AT105" s="21"/>
      <c r="AU105" s="21"/>
      <c r="AV105" s="21"/>
    </row>
    <row r="106" spans="1:48" s="10" customFormat="1" ht="12" customHeight="1">
      <c r="A106" s="17"/>
      <c r="B106" s="14" t="s">
        <v>198</v>
      </c>
      <c r="C106" s="19">
        <f>SUMIFS(AR_Aging!$R:$R,AR_Aging!$C:$C,AR_Consol!C$1,AR_Aging!$J:$J,AR_Consol!$B106,AR_Aging!$G:$G,"非合併事業體及關係人")+SUMIFS(AR_Aging!$R:$R,AR_Aging!$C:$C,AR_Consol!C$1,AR_Aging!$J:$J,AR_Consol!$B106,AR_Aging!$G:$G,"第三方")+SUMIFS(AR_Aging!$R:$R,AR_Aging!$C:$C,AR_Consol!C$1,AR_Aging!$J:$J,AR_Consol!$B106,AR_Aging!$G:$G,"Related Party")+SUMIFS(AR_Aging!$R:$R,AR_Aging!$C:$C,AR_Consol!C$1,AR_Aging!$J:$J,AR_Consol!$B106,AR_Aging!$G:$G,"3rd party")</f>
        <v>0</v>
      </c>
      <c r="D106" s="22"/>
      <c r="E106" s="22"/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  <c r="Q106" s="22"/>
      <c r="R106" s="22"/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  <c r="AD106" s="22"/>
      <c r="AE106" s="22"/>
      <c r="AF106" s="22"/>
      <c r="AG106" s="22"/>
      <c r="AH106" s="22"/>
      <c r="AI106" s="22"/>
      <c r="AJ106" s="22"/>
      <c r="AK106" s="22"/>
      <c r="AL106" s="22"/>
      <c r="AM106" s="22"/>
      <c r="AN106" s="22"/>
      <c r="AO106" s="22"/>
      <c r="AP106" s="22"/>
      <c r="AQ106" s="22"/>
      <c r="AR106" s="22"/>
      <c r="AS106" s="19">
        <f t="shared" si="3"/>
        <v>0</v>
      </c>
      <c r="AT106" s="21"/>
      <c r="AU106" s="21"/>
      <c r="AV106" s="21"/>
    </row>
    <row r="107" spans="1:48" s="10" customFormat="1" ht="12" customHeight="1">
      <c r="A107" s="17"/>
      <c r="B107" s="14" t="s">
        <v>199</v>
      </c>
      <c r="C107" s="19">
        <f>SUMIFS(AR_Aging!$R:$R,AR_Aging!$C:$C,AR_Consol!C$1,AR_Aging!$J:$J,AR_Consol!$B107,AR_Aging!$G:$G,"非合併事業體及關係人")+SUMIFS(AR_Aging!$R:$R,AR_Aging!$C:$C,AR_Consol!C$1,AR_Aging!$J:$J,AR_Consol!$B107,AR_Aging!$G:$G,"第三方")+SUMIFS(AR_Aging!$R:$R,AR_Aging!$C:$C,AR_Consol!C$1,AR_Aging!$J:$J,AR_Consol!$B107,AR_Aging!$G:$G,"Related Party")+SUMIFS(AR_Aging!$R:$R,AR_Aging!$C:$C,AR_Consol!C$1,AR_Aging!$J:$J,AR_Consol!$B107,AR_Aging!$G:$G,"3rd party")</f>
        <v>0</v>
      </c>
      <c r="D107" s="22"/>
      <c r="E107" s="22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  <c r="Q107" s="22"/>
      <c r="R107" s="22"/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  <c r="AD107" s="22"/>
      <c r="AE107" s="22"/>
      <c r="AF107" s="22"/>
      <c r="AG107" s="22"/>
      <c r="AH107" s="22"/>
      <c r="AI107" s="22"/>
      <c r="AJ107" s="22"/>
      <c r="AK107" s="22"/>
      <c r="AL107" s="22"/>
      <c r="AM107" s="22"/>
      <c r="AN107" s="22"/>
      <c r="AO107" s="22"/>
      <c r="AP107" s="22"/>
      <c r="AQ107" s="22"/>
      <c r="AR107" s="22"/>
      <c r="AS107" s="19">
        <f t="shared" si="3"/>
        <v>0</v>
      </c>
      <c r="AT107" s="21"/>
      <c r="AU107" s="21"/>
      <c r="AV107" s="21"/>
    </row>
    <row r="108" spans="1:48" s="10" customFormat="1" ht="12" customHeight="1">
      <c r="A108" s="17"/>
      <c r="B108" s="14" t="s">
        <v>200</v>
      </c>
      <c r="C108" s="19">
        <f>SUMIFS(AR_Aging!$R:$R,AR_Aging!$C:$C,AR_Consol!C$1,AR_Aging!$J:$J,AR_Consol!$B108,AR_Aging!$G:$G,"非合併事業體及關係人")+SUMIFS(AR_Aging!$R:$R,AR_Aging!$C:$C,AR_Consol!C$1,AR_Aging!$J:$J,AR_Consol!$B108,AR_Aging!$G:$G,"第三方")+SUMIFS(AR_Aging!$R:$R,AR_Aging!$C:$C,AR_Consol!C$1,AR_Aging!$J:$J,AR_Consol!$B108,AR_Aging!$G:$G,"Related Party")+SUMIFS(AR_Aging!$R:$R,AR_Aging!$C:$C,AR_Consol!C$1,AR_Aging!$J:$J,AR_Consol!$B108,AR_Aging!$G:$G,"3rd party")</f>
        <v>0</v>
      </c>
      <c r="D108" s="22"/>
      <c r="E108" s="22"/>
      <c r="F108" s="22"/>
      <c r="G108" s="22"/>
      <c r="H108" s="22"/>
      <c r="I108" s="22"/>
      <c r="J108" s="22"/>
      <c r="K108" s="22"/>
      <c r="L108" s="22"/>
      <c r="M108" s="22"/>
      <c r="N108" s="22"/>
      <c r="O108" s="22"/>
      <c r="P108" s="22"/>
      <c r="Q108" s="22"/>
      <c r="R108" s="22"/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/>
      <c r="AF108" s="22"/>
      <c r="AG108" s="22"/>
      <c r="AH108" s="22"/>
      <c r="AI108" s="22"/>
      <c r="AJ108" s="22"/>
      <c r="AK108" s="22"/>
      <c r="AL108" s="22"/>
      <c r="AM108" s="22"/>
      <c r="AN108" s="22"/>
      <c r="AO108" s="22"/>
      <c r="AP108" s="22"/>
      <c r="AQ108" s="22"/>
      <c r="AR108" s="22"/>
      <c r="AS108" s="19">
        <f t="shared" si="3"/>
        <v>0</v>
      </c>
      <c r="AT108" s="21"/>
      <c r="AU108" s="21"/>
      <c r="AV108" s="21"/>
    </row>
    <row r="109" spans="1:48" s="10" customFormat="1" ht="12" customHeight="1">
      <c r="A109" s="17"/>
      <c r="B109" s="14" t="s">
        <v>201</v>
      </c>
      <c r="C109" s="19">
        <f>SUMIFS(AR_Aging!$R:$R,AR_Aging!$C:$C,AR_Consol!C$1,AR_Aging!$J:$J,AR_Consol!$B109,AR_Aging!$G:$G,"非合併事業體及關係人")+SUMIFS(AR_Aging!$R:$R,AR_Aging!$C:$C,AR_Consol!C$1,AR_Aging!$J:$J,AR_Consol!$B109,AR_Aging!$G:$G,"第三方")+SUMIFS(AR_Aging!$R:$R,AR_Aging!$C:$C,AR_Consol!C$1,AR_Aging!$J:$J,AR_Consol!$B109,AR_Aging!$G:$G,"Related Party")+SUMIFS(AR_Aging!$R:$R,AR_Aging!$C:$C,AR_Consol!C$1,AR_Aging!$J:$J,AR_Consol!$B109,AR_Aging!$G:$G,"3rd party")</f>
        <v>0</v>
      </c>
      <c r="D109" s="22"/>
      <c r="E109" s="22"/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2"/>
      <c r="Q109" s="22"/>
      <c r="R109" s="22"/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  <c r="AD109" s="22"/>
      <c r="AE109" s="22"/>
      <c r="AF109" s="22"/>
      <c r="AG109" s="22"/>
      <c r="AH109" s="22"/>
      <c r="AI109" s="22"/>
      <c r="AJ109" s="22"/>
      <c r="AK109" s="22"/>
      <c r="AL109" s="22"/>
      <c r="AM109" s="22"/>
      <c r="AN109" s="22"/>
      <c r="AO109" s="22"/>
      <c r="AP109" s="22"/>
      <c r="AQ109" s="22"/>
      <c r="AR109" s="22"/>
      <c r="AS109" s="19">
        <f t="shared" si="3"/>
        <v>0</v>
      </c>
      <c r="AT109" s="21"/>
      <c r="AU109" s="21"/>
      <c r="AV109" s="21"/>
    </row>
    <row r="110" spans="1:48" s="10" customFormat="1" ht="12" customHeight="1">
      <c r="A110" s="17"/>
      <c r="B110" s="14" t="s">
        <v>202</v>
      </c>
      <c r="C110" s="19">
        <f>SUMIFS(AR_Aging!$R:$R,AR_Aging!$C:$C,AR_Consol!C$1,AR_Aging!$J:$J,AR_Consol!$B110,AR_Aging!$G:$G,"非合併事業體及關係人")+SUMIFS(AR_Aging!$R:$R,AR_Aging!$C:$C,AR_Consol!C$1,AR_Aging!$J:$J,AR_Consol!$B110,AR_Aging!$G:$G,"第三方")+SUMIFS(AR_Aging!$R:$R,AR_Aging!$C:$C,AR_Consol!C$1,AR_Aging!$J:$J,AR_Consol!$B110,AR_Aging!$G:$G,"Related Party")+SUMIFS(AR_Aging!$R:$R,AR_Aging!$C:$C,AR_Consol!C$1,AR_Aging!$J:$J,AR_Consol!$B110,AR_Aging!$G:$G,"3rd party")</f>
        <v>0</v>
      </c>
      <c r="D110" s="22"/>
      <c r="E110" s="22"/>
      <c r="F110" s="22"/>
      <c r="G110" s="22"/>
      <c r="H110" s="22"/>
      <c r="I110" s="22"/>
      <c r="J110" s="22"/>
      <c r="K110" s="22"/>
      <c r="L110" s="22"/>
      <c r="M110" s="22"/>
      <c r="N110" s="22"/>
      <c r="O110" s="22"/>
      <c r="P110" s="22"/>
      <c r="Q110" s="22"/>
      <c r="R110" s="22"/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  <c r="AD110" s="22"/>
      <c r="AE110" s="22"/>
      <c r="AF110" s="22"/>
      <c r="AG110" s="22"/>
      <c r="AH110" s="22"/>
      <c r="AI110" s="22"/>
      <c r="AJ110" s="22"/>
      <c r="AK110" s="22"/>
      <c r="AL110" s="22"/>
      <c r="AM110" s="22"/>
      <c r="AN110" s="22"/>
      <c r="AO110" s="22"/>
      <c r="AP110" s="22"/>
      <c r="AQ110" s="22"/>
      <c r="AR110" s="22"/>
      <c r="AS110" s="19">
        <f t="shared" si="3"/>
        <v>0</v>
      </c>
      <c r="AT110" s="21"/>
      <c r="AU110" s="21"/>
      <c r="AV110" s="21"/>
    </row>
    <row r="111" spans="1:48" s="10" customFormat="1" ht="12" customHeight="1">
      <c r="A111" s="17"/>
      <c r="B111" s="14" t="s">
        <v>203</v>
      </c>
      <c r="C111" s="19">
        <f>SUMIFS(AR_Aging!$R:$R,AR_Aging!$C:$C,AR_Consol!C$1,AR_Aging!$J:$J,AR_Consol!$B111,AR_Aging!$G:$G,"非合併事業體及關係人")+SUMIFS(AR_Aging!$R:$R,AR_Aging!$C:$C,AR_Consol!C$1,AR_Aging!$J:$J,AR_Consol!$B111,AR_Aging!$G:$G,"第三方")+SUMIFS(AR_Aging!$R:$R,AR_Aging!$C:$C,AR_Consol!C$1,AR_Aging!$J:$J,AR_Consol!$B111,AR_Aging!$G:$G,"Related Party")+SUMIFS(AR_Aging!$R:$R,AR_Aging!$C:$C,AR_Consol!C$1,AR_Aging!$J:$J,AR_Consol!$B111,AR_Aging!$G:$G,"3rd party")</f>
        <v>0</v>
      </c>
      <c r="D111" s="22"/>
      <c r="E111" s="22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2"/>
      <c r="Q111" s="22"/>
      <c r="R111" s="22"/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  <c r="AD111" s="22"/>
      <c r="AE111" s="22"/>
      <c r="AF111" s="22"/>
      <c r="AG111" s="22"/>
      <c r="AH111" s="22"/>
      <c r="AI111" s="22"/>
      <c r="AJ111" s="22"/>
      <c r="AK111" s="22"/>
      <c r="AL111" s="22"/>
      <c r="AM111" s="22"/>
      <c r="AN111" s="22"/>
      <c r="AO111" s="22"/>
      <c r="AP111" s="22"/>
      <c r="AQ111" s="22"/>
      <c r="AR111" s="22"/>
      <c r="AS111" s="19">
        <f t="shared" si="3"/>
        <v>0</v>
      </c>
      <c r="AT111" s="21"/>
      <c r="AU111" s="21"/>
      <c r="AV111" s="21"/>
    </row>
    <row r="112" spans="1:48" s="10" customFormat="1" ht="12" customHeight="1">
      <c r="A112" s="17"/>
      <c r="B112" s="14" t="s">
        <v>204</v>
      </c>
      <c r="C112" s="19">
        <f>SUMIFS(AR_Aging!$R:$R,AR_Aging!$C:$C,AR_Consol!C$1,AR_Aging!$J:$J,AR_Consol!$B112,AR_Aging!$G:$G,"非合併事業體及關係人")+SUMIFS(AR_Aging!$R:$R,AR_Aging!$C:$C,AR_Consol!C$1,AR_Aging!$J:$J,AR_Consol!$B112,AR_Aging!$G:$G,"第三方")+SUMIFS(AR_Aging!$R:$R,AR_Aging!$C:$C,AR_Consol!C$1,AR_Aging!$J:$J,AR_Consol!$B112,AR_Aging!$G:$G,"Related Party")+SUMIFS(AR_Aging!$R:$R,AR_Aging!$C:$C,AR_Consol!C$1,AR_Aging!$J:$J,AR_Consol!$B112,AR_Aging!$G:$G,"3rd party")</f>
        <v>0</v>
      </c>
      <c r="D112" s="22"/>
      <c r="E112" s="22"/>
      <c r="F112" s="22"/>
      <c r="G112" s="22"/>
      <c r="H112" s="22"/>
      <c r="I112" s="22"/>
      <c r="J112" s="22"/>
      <c r="K112" s="22"/>
      <c r="L112" s="22"/>
      <c r="M112" s="22"/>
      <c r="N112" s="22"/>
      <c r="O112" s="22"/>
      <c r="P112" s="22"/>
      <c r="Q112" s="22"/>
      <c r="R112" s="22"/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  <c r="AD112" s="22"/>
      <c r="AE112" s="22"/>
      <c r="AF112" s="22"/>
      <c r="AG112" s="22"/>
      <c r="AH112" s="22"/>
      <c r="AI112" s="22"/>
      <c r="AJ112" s="22"/>
      <c r="AK112" s="22"/>
      <c r="AL112" s="22"/>
      <c r="AM112" s="22"/>
      <c r="AN112" s="22"/>
      <c r="AO112" s="22"/>
      <c r="AP112" s="22"/>
      <c r="AQ112" s="22"/>
      <c r="AR112" s="22"/>
      <c r="AS112" s="19">
        <f t="shared" si="3"/>
        <v>0</v>
      </c>
      <c r="AT112" s="21"/>
      <c r="AU112" s="21"/>
      <c r="AV112" s="21"/>
    </row>
    <row r="113" spans="1:48" s="10" customFormat="1" ht="12" customHeight="1">
      <c r="A113" s="17"/>
      <c r="B113" s="14" t="s">
        <v>205</v>
      </c>
      <c r="C113" s="19">
        <f>SUMIFS(AR_Aging!$R:$R,AR_Aging!$C:$C,AR_Consol!C$1,AR_Aging!$J:$J,AR_Consol!$B113,AR_Aging!$G:$G,"非合併事業體及關係人")+SUMIFS(AR_Aging!$R:$R,AR_Aging!$C:$C,AR_Consol!C$1,AR_Aging!$J:$J,AR_Consol!$B113,AR_Aging!$G:$G,"第三方")+SUMIFS(AR_Aging!$R:$R,AR_Aging!$C:$C,AR_Consol!C$1,AR_Aging!$J:$J,AR_Consol!$B113,AR_Aging!$G:$G,"Related Party")+SUMIFS(AR_Aging!$R:$R,AR_Aging!$C:$C,AR_Consol!C$1,AR_Aging!$J:$J,AR_Consol!$B113,AR_Aging!$G:$G,"3rd party")</f>
        <v>0</v>
      </c>
      <c r="D113" s="22"/>
      <c r="E113" s="22"/>
      <c r="F113" s="22"/>
      <c r="G113" s="22"/>
      <c r="H113" s="22"/>
      <c r="I113" s="22"/>
      <c r="J113" s="22"/>
      <c r="K113" s="22"/>
      <c r="L113" s="22"/>
      <c r="M113" s="22"/>
      <c r="N113" s="22"/>
      <c r="O113" s="22"/>
      <c r="P113" s="22"/>
      <c r="Q113" s="22"/>
      <c r="R113" s="22"/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  <c r="AD113" s="22"/>
      <c r="AE113" s="22"/>
      <c r="AF113" s="22"/>
      <c r="AG113" s="22"/>
      <c r="AH113" s="22"/>
      <c r="AI113" s="22"/>
      <c r="AJ113" s="22"/>
      <c r="AK113" s="22"/>
      <c r="AL113" s="22"/>
      <c r="AM113" s="22"/>
      <c r="AN113" s="22"/>
      <c r="AO113" s="22"/>
      <c r="AP113" s="22"/>
      <c r="AQ113" s="22"/>
      <c r="AR113" s="22"/>
      <c r="AS113" s="19">
        <f t="shared" si="3"/>
        <v>0</v>
      </c>
      <c r="AT113" s="21"/>
      <c r="AU113" s="21"/>
      <c r="AV113" s="21"/>
    </row>
    <row r="114" spans="1:48" s="10" customFormat="1" ht="12" customHeight="1">
      <c r="A114" s="17"/>
      <c r="B114" s="14" t="s">
        <v>206</v>
      </c>
      <c r="C114" s="19">
        <f>SUMIFS(AR_Aging!$R:$R,AR_Aging!$C:$C,AR_Consol!C$1,AR_Aging!$J:$J,AR_Consol!$B114,AR_Aging!$G:$G,"非合併事業體及關係人")+SUMIFS(AR_Aging!$R:$R,AR_Aging!$C:$C,AR_Consol!C$1,AR_Aging!$J:$J,AR_Consol!$B114,AR_Aging!$G:$G,"第三方")+SUMIFS(AR_Aging!$R:$R,AR_Aging!$C:$C,AR_Consol!C$1,AR_Aging!$J:$J,AR_Consol!$B114,AR_Aging!$G:$G,"Related Party")+SUMIFS(AR_Aging!$R:$R,AR_Aging!$C:$C,AR_Consol!C$1,AR_Aging!$J:$J,AR_Consol!$B114,AR_Aging!$G:$G,"3rd party")</f>
        <v>0</v>
      </c>
      <c r="D114" s="22"/>
      <c r="E114" s="22"/>
      <c r="F114" s="22"/>
      <c r="G114" s="22"/>
      <c r="H114" s="22"/>
      <c r="I114" s="22"/>
      <c r="J114" s="22"/>
      <c r="K114" s="22"/>
      <c r="L114" s="22"/>
      <c r="M114" s="22"/>
      <c r="N114" s="22"/>
      <c r="O114" s="22"/>
      <c r="P114" s="22"/>
      <c r="Q114" s="22"/>
      <c r="R114" s="22"/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  <c r="AD114" s="22"/>
      <c r="AE114" s="22"/>
      <c r="AF114" s="22"/>
      <c r="AG114" s="22"/>
      <c r="AH114" s="22"/>
      <c r="AI114" s="22"/>
      <c r="AJ114" s="22"/>
      <c r="AK114" s="22"/>
      <c r="AL114" s="22"/>
      <c r="AM114" s="22"/>
      <c r="AN114" s="22"/>
      <c r="AO114" s="22"/>
      <c r="AP114" s="22"/>
      <c r="AQ114" s="22"/>
      <c r="AR114" s="22"/>
      <c r="AS114" s="19">
        <f t="shared" si="3"/>
        <v>0</v>
      </c>
      <c r="AT114" s="21"/>
      <c r="AU114" s="21"/>
      <c r="AV114" s="21"/>
    </row>
    <row r="115" spans="1:48" s="10" customFormat="1" ht="12" customHeight="1">
      <c r="A115" s="17"/>
      <c r="B115" s="14" t="s">
        <v>67</v>
      </c>
      <c r="C115" s="19">
        <f>SUMIFS(AR_Aging!$R:$R,AR_Aging!$C:$C,AR_Consol!C$1,AR_Aging!$J:$J,AR_Consol!$B115,AR_Aging!$G:$G,"非合併事業體及關係人")+SUMIFS(AR_Aging!$R:$R,AR_Aging!$C:$C,AR_Consol!C$1,AR_Aging!$J:$J,AR_Consol!$B115,AR_Aging!$G:$G,"第三方")+SUMIFS(AR_Aging!$R:$R,AR_Aging!$C:$C,AR_Consol!C$1,AR_Aging!$J:$J,AR_Consol!$B115,AR_Aging!$G:$G,"Related Party")+SUMIFS(AR_Aging!$R:$R,AR_Aging!$C:$C,AR_Consol!C$1,AR_Aging!$J:$J,AR_Consol!$B115,AR_Aging!$G:$G,"3rd party")</f>
        <v>0</v>
      </c>
      <c r="D115" s="22"/>
      <c r="E115" s="22"/>
      <c r="F115" s="22"/>
      <c r="G115" s="22"/>
      <c r="H115" s="22"/>
      <c r="I115" s="22"/>
      <c r="J115" s="22"/>
      <c r="K115" s="22"/>
      <c r="L115" s="22"/>
      <c r="M115" s="22"/>
      <c r="N115" s="22"/>
      <c r="O115" s="22"/>
      <c r="P115" s="22"/>
      <c r="Q115" s="22"/>
      <c r="R115" s="22"/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  <c r="AD115" s="22"/>
      <c r="AE115" s="22"/>
      <c r="AF115" s="22"/>
      <c r="AG115" s="22"/>
      <c r="AH115" s="22"/>
      <c r="AI115" s="22"/>
      <c r="AJ115" s="22"/>
      <c r="AK115" s="22"/>
      <c r="AL115" s="22"/>
      <c r="AM115" s="22"/>
      <c r="AN115" s="22"/>
      <c r="AO115" s="22"/>
      <c r="AP115" s="22"/>
      <c r="AQ115" s="22"/>
      <c r="AR115" s="22"/>
      <c r="AS115" s="19">
        <f t="shared" si="3"/>
        <v>0</v>
      </c>
      <c r="AT115" s="21"/>
      <c r="AU115" s="21"/>
      <c r="AV115" s="21"/>
    </row>
    <row r="116" spans="1:48" s="10" customFormat="1" ht="12" customHeight="1">
      <c r="A116" s="17"/>
      <c r="B116" s="14" t="s">
        <v>207</v>
      </c>
      <c r="C116" s="19">
        <f>SUMIFS(AR_Aging!$R:$R,AR_Aging!$C:$C,AR_Consol!C$1,AR_Aging!$J:$J,AR_Consol!$B116,AR_Aging!$G:$G,"非合併事業體及關係人")+SUMIFS(AR_Aging!$R:$R,AR_Aging!$C:$C,AR_Consol!C$1,AR_Aging!$J:$J,AR_Consol!$B116,AR_Aging!$G:$G,"第三方")+SUMIFS(AR_Aging!$R:$R,AR_Aging!$C:$C,AR_Consol!C$1,AR_Aging!$J:$J,AR_Consol!$B116,AR_Aging!$G:$G,"Related Party")+SUMIFS(AR_Aging!$R:$R,AR_Aging!$C:$C,AR_Consol!C$1,AR_Aging!$J:$J,AR_Consol!$B116,AR_Aging!$G:$G,"3rd party")</f>
        <v>0</v>
      </c>
      <c r="D116" s="22"/>
      <c r="E116" s="22"/>
      <c r="F116" s="22"/>
      <c r="G116" s="22"/>
      <c r="H116" s="22"/>
      <c r="I116" s="22"/>
      <c r="J116" s="22"/>
      <c r="K116" s="22"/>
      <c r="L116" s="22"/>
      <c r="M116" s="22"/>
      <c r="N116" s="22"/>
      <c r="O116" s="22"/>
      <c r="P116" s="22"/>
      <c r="Q116" s="22"/>
      <c r="R116" s="22"/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  <c r="AD116" s="22"/>
      <c r="AE116" s="22"/>
      <c r="AF116" s="22"/>
      <c r="AG116" s="22"/>
      <c r="AH116" s="22"/>
      <c r="AI116" s="22"/>
      <c r="AJ116" s="22"/>
      <c r="AK116" s="22"/>
      <c r="AL116" s="22"/>
      <c r="AM116" s="22"/>
      <c r="AN116" s="22"/>
      <c r="AO116" s="22"/>
      <c r="AP116" s="22"/>
      <c r="AQ116" s="22"/>
      <c r="AR116" s="22"/>
      <c r="AS116" s="19">
        <f t="shared" si="3"/>
        <v>0</v>
      </c>
      <c r="AT116" s="21"/>
      <c r="AU116" s="21"/>
      <c r="AV116" s="21"/>
    </row>
    <row r="117" spans="1:48" s="10" customFormat="1" ht="12" customHeight="1">
      <c r="A117" s="17"/>
      <c r="B117" s="59" t="s">
        <v>51</v>
      </c>
      <c r="C117" s="19">
        <f>SUM(C82:C116)</f>
        <v>0</v>
      </c>
      <c r="D117" s="22"/>
      <c r="E117" s="22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2"/>
      <c r="R117" s="22"/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  <c r="AD117" s="22"/>
      <c r="AE117" s="22"/>
      <c r="AF117" s="22"/>
      <c r="AG117" s="22"/>
      <c r="AH117" s="22"/>
      <c r="AI117" s="22"/>
      <c r="AJ117" s="22"/>
      <c r="AK117" s="22"/>
      <c r="AL117" s="22"/>
      <c r="AM117" s="22"/>
      <c r="AN117" s="22"/>
      <c r="AO117" s="22"/>
      <c r="AP117" s="22"/>
      <c r="AQ117" s="22"/>
      <c r="AR117" s="22"/>
      <c r="AS117" s="19">
        <f>SUM(C117:AQ117)</f>
        <v>0</v>
      </c>
      <c r="AT117" s="19" t="e">
        <f>[1]!HsGetValue(conn,"Entity#C60452;Account#"&amp;$A$39&amp;大表科目本位幣調整AJE)+[1]!HsGetValue(conn,"Entity#C60452;Account#"&amp;$A$40&amp;大表科目本位幣調整AJE)+[1]!HsGetValue(conn,"Entity#C60452;Account#"&amp;$A$41&amp;大表科目本位幣調整AJE)+[1]!HsGetValue(conn,"Entity#C60452;Account#"&amp;$A$42&amp;大表科目本位幣調整AJE)+[1]!HsGetValue(conn,"Entity#C60452;Account#"&amp;$A$43&amp;大表科目本位幣調整AJE)+[1]!HsGetValue(conn,"Entity#C60452;Account#"&amp;$A$44&amp;大表科目本位幣調整AJE)</f>
        <v>#VALUE!</v>
      </c>
      <c r="AU117" s="21" t="e">
        <f>AS117+AT117</f>
        <v>#VALUE!</v>
      </c>
      <c r="AV117" s="20" t="e">
        <f>ROUND(AU117/1000,)</f>
        <v>#VALUE!</v>
      </c>
    </row>
    <row r="118" spans="1:48" s="10" customFormat="1" ht="12" customHeight="1">
      <c r="A118" s="17"/>
      <c r="B118" s="13" t="s">
        <v>208</v>
      </c>
      <c r="C118" s="22"/>
      <c r="D118" s="22"/>
      <c r="E118" s="22"/>
      <c r="F118" s="22"/>
      <c r="G118" s="22"/>
      <c r="H118" s="22"/>
      <c r="I118" s="22"/>
      <c r="J118" s="22"/>
      <c r="K118" s="22"/>
      <c r="L118" s="22"/>
      <c r="M118" s="22"/>
      <c r="N118" s="22"/>
      <c r="O118" s="22"/>
      <c r="P118" s="22"/>
      <c r="Q118" s="22"/>
      <c r="R118" s="22"/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/>
      <c r="AF118" s="22"/>
      <c r="AG118" s="22"/>
      <c r="AH118" s="22"/>
      <c r="AI118" s="22"/>
      <c r="AJ118" s="22"/>
      <c r="AK118" s="22"/>
      <c r="AL118" s="22"/>
      <c r="AM118" s="22"/>
      <c r="AN118" s="22"/>
      <c r="AO118" s="22"/>
      <c r="AP118" s="22"/>
      <c r="AQ118" s="22"/>
      <c r="AR118" s="22"/>
      <c r="AS118" s="19"/>
      <c r="AT118" s="21"/>
      <c r="AU118" s="21" t="e">
        <f>[1]!HsGetValue(conn,"Entity#C60452;Account#"&amp;$A$39&amp;大表科目本位幣調整后)+[1]!HsGetValue(conn,"Entity#C60452;Account#"&amp;$A$40&amp;大表科目本位幣調整后)+[1]!HsGetValue(conn,"Entity#C60452;Account#"&amp;$A$41&amp;大表科目本位幣調整后)+[1]!HsGetValue(conn,"Entity#C60452;Account#"&amp;$A$42&amp;大表科目本位幣調整后)+[1]!HsGetValue(conn,"Entity#C60452;Account#"&amp;$A$43&amp;大表科目本位幣調整后)+[1]!HsGetValue(conn,"Entity#C60452;Account#"&amp;$A$44&amp;大表科目本位幣調整后)</f>
        <v>#VALUE!</v>
      </c>
      <c r="AV118" s="21"/>
    </row>
    <row r="119" spans="1:48" s="10" customFormat="1" ht="12" customHeight="1">
      <c r="A119" s="17"/>
      <c r="B119" s="13" t="s">
        <v>209</v>
      </c>
      <c r="C119" s="22"/>
      <c r="D119" s="22"/>
      <c r="E119" s="22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22"/>
      <c r="R119" s="22"/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2"/>
      <c r="AF119" s="22"/>
      <c r="AG119" s="22"/>
      <c r="AH119" s="22"/>
      <c r="AI119" s="22"/>
      <c r="AJ119" s="22"/>
      <c r="AK119" s="22"/>
      <c r="AL119" s="22"/>
      <c r="AM119" s="22"/>
      <c r="AN119" s="22"/>
      <c r="AO119" s="22"/>
      <c r="AP119" s="22"/>
      <c r="AQ119" s="22"/>
      <c r="AR119" s="22"/>
      <c r="AS119" s="19"/>
      <c r="AT119" s="21"/>
      <c r="AU119" s="21" t="e">
        <f>AU117-AU118</f>
        <v>#VALUE!</v>
      </c>
      <c r="AV119" s="21"/>
    </row>
  </sheetData>
  <sheetProtection algorithmName="SHA-512" hashValue="KMFG7QhMQOzQETdpUVoBm3+p2Rmmj26Dz37DolUzFiZnARWfr3la1HUYRuZpcxsFsbU6Y/dF1Ve2OKa2mef6dQ==" saltValue="cP5gxwqLnihwOlKZe0dWtg==" spinCount="100000" sheet="1" formatColumns="0" formatRows="0" sort="0" autoFilter="0" pivotTables="0"/>
  <mergeCells count="6">
    <mergeCell ref="B4:AV4"/>
    <mergeCell ref="B36:AV36"/>
    <mergeCell ref="B37:AV37"/>
    <mergeCell ref="B80:AV80"/>
    <mergeCell ref="B81:AV81"/>
    <mergeCell ref="B79:AV79"/>
  </mergeCells>
  <pageMargins left="0.75" right="0.75" top="1" bottom="1" header="0.5" footer="0.5"/>
  <headerFooter alignWithMargins="0"/>
  <customProperties>
    <customPr name="SheetOptions" r:id="rId1"/>
  </customPropertie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X69"/>
  <sheetViews>
    <sheetView workbookViewId="0">
      <selection activeCell="H23" sqref="H23"/>
    </sheetView>
  </sheetViews>
  <sheetFormatPr defaultRowHeight="13.2" customHeight="1"/>
  <cols>
    <col min="1" max="1" width="7.33203125" style="29" customWidth="1"/>
    <col min="2" max="2" width="16.33203125" style="29" customWidth="1"/>
    <col min="3" max="3" width="18.44140625" style="29" customWidth="1"/>
    <col min="4" max="4" width="13.44140625" style="29" customWidth="1"/>
    <col min="5" max="5" width="9.88671875" style="29" customWidth="1"/>
    <col min="6" max="6" width="8.88671875" style="29" customWidth="1"/>
    <col min="7" max="7" width="7.88671875" style="29" customWidth="1"/>
    <col min="8" max="8" width="11.33203125" style="29" customWidth="1"/>
    <col min="9" max="9" width="12.33203125" style="29" customWidth="1"/>
    <col min="10" max="10" width="8.88671875" style="29" customWidth="1"/>
    <col min="11" max="11" width="9.88671875" style="29" customWidth="1"/>
    <col min="12" max="12" width="12.33203125" style="29" customWidth="1"/>
    <col min="13" max="14" width="9.88671875" style="29" customWidth="1"/>
    <col min="15" max="15" width="7.88671875" style="29" customWidth="1"/>
    <col min="16" max="16" width="11.33203125" style="29" customWidth="1"/>
    <col min="17" max="17" width="13.44140625" style="29" customWidth="1"/>
    <col min="18" max="18" width="7.88671875" style="29" customWidth="1"/>
    <col min="19" max="20" width="13.44140625" style="29" customWidth="1"/>
    <col min="21" max="22" width="12.33203125" style="29" customWidth="1"/>
    <col min="23" max="23" width="11.33203125" style="29" customWidth="1"/>
    <col min="24" max="24" width="12.33203125" style="29" customWidth="1"/>
    <col min="25" max="25" width="14.88671875" style="29" customWidth="1"/>
    <col min="26" max="28" width="11.33203125" style="29" customWidth="1"/>
    <col min="29" max="29" width="13.44140625" style="29" customWidth="1"/>
    <col min="30" max="30" width="9.88671875" style="29" customWidth="1"/>
    <col min="31" max="31" width="13.44140625" style="29" customWidth="1"/>
    <col min="32" max="32" width="11.33203125" style="29" customWidth="1"/>
    <col min="33" max="34" width="9.88671875" style="29" customWidth="1"/>
    <col min="35" max="35" width="11.33203125" style="29" customWidth="1"/>
    <col min="36" max="36" width="12.33203125" style="29" customWidth="1"/>
    <col min="37" max="37" width="11.33203125" style="29" customWidth="1"/>
    <col min="38" max="38" width="14.88671875" style="29" customWidth="1"/>
    <col min="39" max="39" width="12.33203125" style="29" customWidth="1"/>
    <col min="40" max="40" width="7.88671875" style="29" customWidth="1"/>
    <col min="41" max="41" width="12.33203125" style="29" customWidth="1"/>
    <col min="42" max="42" width="7.88671875" style="29" customWidth="1"/>
    <col min="43" max="43" width="12.33203125" style="29" customWidth="1"/>
    <col min="44" max="45" width="11.33203125" style="29" customWidth="1"/>
    <col min="46" max="46" width="13.44140625" style="29" customWidth="1"/>
    <col min="47" max="47" width="9.88671875" style="29" customWidth="1"/>
    <col min="48" max="48" width="12.33203125" style="29" customWidth="1"/>
    <col min="49" max="49" width="8.88671875" customWidth="1"/>
    <col min="50" max="50" width="18.44140625" style="29" customWidth="1"/>
    <col min="51" max="16384" width="8.88671875" style="29"/>
  </cols>
  <sheetData>
    <row r="1" spans="1:50" ht="13.8">
      <c r="A1" s="31"/>
      <c r="B1" s="31"/>
      <c r="C1" s="30" t="s">
        <v>88</v>
      </c>
      <c r="D1" s="30" t="s">
        <v>88</v>
      </c>
      <c r="E1" s="30" t="s">
        <v>88</v>
      </c>
      <c r="F1" s="30" t="s">
        <v>88</v>
      </c>
      <c r="G1" s="30" t="s">
        <v>88</v>
      </c>
      <c r="H1" s="30" t="s">
        <v>88</v>
      </c>
      <c r="I1" s="30" t="s">
        <v>88</v>
      </c>
      <c r="J1" s="30" t="s">
        <v>88</v>
      </c>
      <c r="K1" s="30" t="s">
        <v>88</v>
      </c>
      <c r="L1" s="30" t="s">
        <v>88</v>
      </c>
      <c r="M1" s="30" t="s">
        <v>88</v>
      </c>
      <c r="N1" s="30" t="s">
        <v>88</v>
      </c>
      <c r="O1" s="30" t="s">
        <v>88</v>
      </c>
      <c r="P1" s="30" t="s">
        <v>88</v>
      </c>
      <c r="Q1" s="30" t="s">
        <v>88</v>
      </c>
      <c r="R1" s="30" t="s">
        <v>88</v>
      </c>
      <c r="S1" s="30" t="s">
        <v>88</v>
      </c>
      <c r="T1" s="30" t="s">
        <v>88</v>
      </c>
      <c r="U1" s="30" t="s">
        <v>88</v>
      </c>
      <c r="V1" s="30" t="s">
        <v>88</v>
      </c>
      <c r="W1" s="30" t="s">
        <v>88</v>
      </c>
      <c r="X1" s="30" t="s">
        <v>88</v>
      </c>
      <c r="Y1" s="30" t="s">
        <v>88</v>
      </c>
      <c r="Z1" s="30" t="s">
        <v>88</v>
      </c>
      <c r="AA1" s="30" t="s">
        <v>88</v>
      </c>
      <c r="AB1" s="30" t="s">
        <v>88</v>
      </c>
      <c r="AC1" s="30" t="s">
        <v>88</v>
      </c>
      <c r="AD1" s="30" t="s">
        <v>88</v>
      </c>
      <c r="AE1" s="30" t="s">
        <v>88</v>
      </c>
      <c r="AF1" s="30" t="s">
        <v>88</v>
      </c>
      <c r="AG1" s="30" t="s">
        <v>88</v>
      </c>
      <c r="AH1" s="30" t="s">
        <v>88</v>
      </c>
      <c r="AI1" s="30" t="s">
        <v>88</v>
      </c>
      <c r="AJ1" s="30" t="s">
        <v>88</v>
      </c>
      <c r="AK1" s="30" t="s">
        <v>88</v>
      </c>
      <c r="AL1" s="30" t="s">
        <v>88</v>
      </c>
      <c r="AM1" s="30" t="s">
        <v>88</v>
      </c>
      <c r="AN1" s="30" t="s">
        <v>88</v>
      </c>
      <c r="AO1" s="30" t="s">
        <v>88</v>
      </c>
      <c r="AP1" s="30" t="s">
        <v>88</v>
      </c>
      <c r="AQ1" s="30" t="s">
        <v>88</v>
      </c>
      <c r="AR1" s="30" t="s">
        <v>88</v>
      </c>
      <c r="AS1" s="30" t="s">
        <v>88</v>
      </c>
      <c r="AT1" s="30" t="s">
        <v>88</v>
      </c>
      <c r="AU1" s="30" t="s">
        <v>88</v>
      </c>
      <c r="AV1" s="30" t="s">
        <v>88</v>
      </c>
      <c r="AW1" s="30" t="s">
        <v>88</v>
      </c>
      <c r="AX1" s="30" t="s">
        <v>51</v>
      </c>
    </row>
    <row r="2" spans="1:50" ht="13.8">
      <c r="A2" s="31"/>
      <c r="B2" s="31"/>
      <c r="C2" s="30" t="s">
        <v>88</v>
      </c>
      <c r="D2" s="30" t="s">
        <v>88</v>
      </c>
      <c r="E2" s="30" t="s">
        <v>88</v>
      </c>
      <c r="F2" s="30" t="s">
        <v>88</v>
      </c>
      <c r="G2" s="30" t="s">
        <v>88</v>
      </c>
      <c r="H2" s="30" t="s">
        <v>88</v>
      </c>
      <c r="I2" s="30" t="s">
        <v>88</v>
      </c>
      <c r="J2" s="30" t="s">
        <v>88</v>
      </c>
      <c r="K2" s="30" t="s">
        <v>88</v>
      </c>
      <c r="L2" s="30" t="s">
        <v>88</v>
      </c>
      <c r="M2" s="30" t="s">
        <v>88</v>
      </c>
      <c r="N2" s="30" t="s">
        <v>88</v>
      </c>
      <c r="O2" s="30" t="s">
        <v>88</v>
      </c>
      <c r="P2" s="30" t="s">
        <v>88</v>
      </c>
      <c r="Q2" s="30" t="s">
        <v>88</v>
      </c>
      <c r="R2" s="30" t="s">
        <v>88</v>
      </c>
      <c r="S2" s="30" t="s">
        <v>88</v>
      </c>
      <c r="T2" s="30" t="s">
        <v>88</v>
      </c>
      <c r="U2" s="30" t="s">
        <v>88</v>
      </c>
      <c r="V2" s="30" t="s">
        <v>88</v>
      </c>
      <c r="W2" s="30" t="s">
        <v>88</v>
      </c>
      <c r="X2" s="30" t="s">
        <v>88</v>
      </c>
      <c r="Y2" s="30" t="s">
        <v>88</v>
      </c>
      <c r="Z2" s="30" t="s">
        <v>88</v>
      </c>
      <c r="AA2" s="30" t="s">
        <v>88</v>
      </c>
      <c r="AB2" s="30" t="s">
        <v>88</v>
      </c>
      <c r="AC2" s="30" t="s">
        <v>88</v>
      </c>
      <c r="AD2" s="30" t="s">
        <v>88</v>
      </c>
      <c r="AE2" s="30" t="s">
        <v>88</v>
      </c>
      <c r="AF2" s="30" t="s">
        <v>88</v>
      </c>
      <c r="AG2" s="30" t="s">
        <v>88</v>
      </c>
      <c r="AH2" s="30" t="s">
        <v>88</v>
      </c>
      <c r="AI2" s="30" t="s">
        <v>88</v>
      </c>
      <c r="AJ2" s="30" t="s">
        <v>88</v>
      </c>
      <c r="AK2" s="30" t="s">
        <v>88</v>
      </c>
      <c r="AL2" s="30" t="s">
        <v>88</v>
      </c>
      <c r="AM2" s="30" t="s">
        <v>88</v>
      </c>
      <c r="AN2" s="30" t="s">
        <v>88</v>
      </c>
      <c r="AO2" s="30" t="s">
        <v>88</v>
      </c>
      <c r="AP2" s="30" t="s">
        <v>88</v>
      </c>
      <c r="AQ2" s="30" t="s">
        <v>88</v>
      </c>
      <c r="AR2" s="30" t="s">
        <v>88</v>
      </c>
      <c r="AS2" s="30" t="s">
        <v>88</v>
      </c>
      <c r="AT2" s="30" t="s">
        <v>88</v>
      </c>
      <c r="AU2" s="30" t="s">
        <v>88</v>
      </c>
      <c r="AV2" s="30" t="s">
        <v>88</v>
      </c>
      <c r="AW2" s="30" t="s">
        <v>88</v>
      </c>
      <c r="AX2" s="30" t="s">
        <v>88</v>
      </c>
    </row>
    <row r="3" spans="1:50" ht="13.8">
      <c r="A3" s="30" t="s">
        <v>6</v>
      </c>
      <c r="B3" s="30" t="s">
        <v>85</v>
      </c>
      <c r="C3" s="32">
        <v>0</v>
      </c>
      <c r="D3" s="32">
        <v>0</v>
      </c>
      <c r="E3" s="32">
        <v>0</v>
      </c>
      <c r="F3" s="32">
        <v>0</v>
      </c>
      <c r="G3" s="32">
        <v>0</v>
      </c>
      <c r="H3" s="32">
        <v>0</v>
      </c>
      <c r="I3" s="32">
        <v>42283662</v>
      </c>
      <c r="J3" s="32">
        <v>23642</v>
      </c>
      <c r="K3" s="32">
        <v>0</v>
      </c>
      <c r="L3" s="32">
        <v>2934805</v>
      </c>
      <c r="M3" s="32">
        <v>0</v>
      </c>
      <c r="N3" s="32">
        <v>0</v>
      </c>
      <c r="O3" s="32">
        <v>0</v>
      </c>
      <c r="P3" s="32">
        <v>0</v>
      </c>
      <c r="Q3" s="32">
        <v>0</v>
      </c>
      <c r="R3" s="32">
        <v>0</v>
      </c>
      <c r="S3" s="32">
        <v>0</v>
      </c>
      <c r="T3" s="32">
        <v>0</v>
      </c>
      <c r="U3" s="32">
        <v>278468</v>
      </c>
      <c r="V3" s="32">
        <v>0</v>
      </c>
      <c r="W3" s="32">
        <v>1065009</v>
      </c>
      <c r="X3" s="32">
        <v>0</v>
      </c>
      <c r="Y3" s="32">
        <v>14180784</v>
      </c>
      <c r="Z3" s="32">
        <v>0</v>
      </c>
      <c r="AA3" s="32">
        <v>0</v>
      </c>
      <c r="AB3" s="32">
        <v>0</v>
      </c>
      <c r="AC3" s="32">
        <v>182081</v>
      </c>
      <c r="AD3" s="32">
        <v>0</v>
      </c>
      <c r="AE3" s="32">
        <v>985</v>
      </c>
      <c r="AF3" s="32">
        <v>0</v>
      </c>
      <c r="AG3" s="32">
        <v>0</v>
      </c>
      <c r="AH3" s="32">
        <v>0</v>
      </c>
      <c r="AI3" s="32">
        <v>234737</v>
      </c>
      <c r="AJ3" s="32">
        <v>0</v>
      </c>
      <c r="AK3" s="32">
        <v>1460466</v>
      </c>
      <c r="AL3" s="32">
        <v>0</v>
      </c>
      <c r="AM3" s="32">
        <v>0</v>
      </c>
      <c r="AN3" s="32">
        <v>0</v>
      </c>
      <c r="AO3" s="32">
        <v>5514</v>
      </c>
      <c r="AP3" s="32">
        <v>0</v>
      </c>
      <c r="AQ3" s="32">
        <v>0</v>
      </c>
      <c r="AR3" s="32">
        <v>0</v>
      </c>
      <c r="AS3" s="32">
        <v>0</v>
      </c>
      <c r="AT3" s="32">
        <v>0</v>
      </c>
      <c r="AU3" s="32">
        <v>0</v>
      </c>
      <c r="AV3" s="32">
        <v>0</v>
      </c>
      <c r="AW3" s="32">
        <v>0</v>
      </c>
      <c r="AX3" s="32">
        <v>62650153</v>
      </c>
    </row>
    <row r="4" spans="1:50" ht="13.8">
      <c r="A4" s="30" t="s">
        <v>7</v>
      </c>
      <c r="B4" s="30" t="s">
        <v>85</v>
      </c>
      <c r="C4" s="32">
        <v>443939</v>
      </c>
      <c r="D4" s="32">
        <v>0</v>
      </c>
      <c r="E4" s="32">
        <v>0</v>
      </c>
      <c r="F4" s="32">
        <v>0</v>
      </c>
      <c r="G4" s="32">
        <v>0</v>
      </c>
      <c r="H4" s="33" t="s">
        <v>89</v>
      </c>
      <c r="I4" s="32">
        <v>0</v>
      </c>
      <c r="J4" s="32">
        <v>0</v>
      </c>
      <c r="K4" s="32">
        <v>0</v>
      </c>
      <c r="L4" s="32">
        <v>0</v>
      </c>
      <c r="M4" s="32">
        <v>0</v>
      </c>
      <c r="N4" s="32">
        <v>0</v>
      </c>
      <c r="O4" s="32">
        <v>0</v>
      </c>
      <c r="P4" s="63">
        <v>0</v>
      </c>
      <c r="Q4" s="32">
        <v>0</v>
      </c>
      <c r="R4" s="32">
        <v>0</v>
      </c>
      <c r="S4" s="32">
        <v>5704</v>
      </c>
      <c r="T4" s="32">
        <v>0</v>
      </c>
      <c r="U4" s="32">
        <v>0</v>
      </c>
      <c r="V4" s="32">
        <v>0</v>
      </c>
      <c r="W4" s="32">
        <v>0</v>
      </c>
      <c r="X4" s="32">
        <v>0</v>
      </c>
      <c r="Y4" s="32">
        <v>0</v>
      </c>
      <c r="Z4" s="32">
        <v>0</v>
      </c>
      <c r="AA4" s="32">
        <v>0</v>
      </c>
      <c r="AB4" s="32">
        <v>0</v>
      </c>
      <c r="AC4" s="32">
        <v>0</v>
      </c>
      <c r="AD4" s="32">
        <v>0</v>
      </c>
      <c r="AE4" s="32">
        <v>2280</v>
      </c>
      <c r="AF4" s="32">
        <v>0</v>
      </c>
      <c r="AG4" s="32">
        <v>0</v>
      </c>
      <c r="AH4" s="32">
        <v>0</v>
      </c>
      <c r="AI4" s="32">
        <v>0</v>
      </c>
      <c r="AJ4" s="32">
        <v>0</v>
      </c>
      <c r="AK4" s="32">
        <v>26360</v>
      </c>
      <c r="AL4" s="32">
        <v>1446270</v>
      </c>
      <c r="AM4" s="32">
        <v>0</v>
      </c>
      <c r="AN4" s="32">
        <v>0</v>
      </c>
      <c r="AO4" s="32">
        <v>87215</v>
      </c>
      <c r="AP4" s="32">
        <v>0</v>
      </c>
      <c r="AQ4" s="32">
        <v>401120</v>
      </c>
      <c r="AR4" s="32">
        <v>0</v>
      </c>
      <c r="AS4" s="32">
        <v>0</v>
      </c>
      <c r="AT4" s="32">
        <v>0</v>
      </c>
      <c r="AU4" s="32">
        <v>0</v>
      </c>
      <c r="AV4" s="32">
        <v>0</v>
      </c>
      <c r="AW4" s="32">
        <v>0</v>
      </c>
      <c r="AX4" s="32">
        <v>2412888</v>
      </c>
    </row>
    <row r="5" spans="1:50" ht="13.8">
      <c r="A5" s="30" t="s">
        <v>9</v>
      </c>
      <c r="B5" s="30" t="s">
        <v>85</v>
      </c>
      <c r="C5" s="32">
        <v>0</v>
      </c>
      <c r="D5" s="32">
        <v>0</v>
      </c>
      <c r="E5" s="32">
        <v>0</v>
      </c>
      <c r="F5" s="32">
        <v>0</v>
      </c>
      <c r="G5" s="32">
        <v>0</v>
      </c>
      <c r="H5" s="32">
        <v>0</v>
      </c>
      <c r="I5" s="32">
        <v>0</v>
      </c>
      <c r="J5" s="33" t="s">
        <v>89</v>
      </c>
      <c r="K5" s="33" t="s">
        <v>89</v>
      </c>
      <c r="L5" s="32">
        <v>0</v>
      </c>
      <c r="M5" s="32">
        <v>0</v>
      </c>
      <c r="N5" s="32">
        <v>0</v>
      </c>
      <c r="O5" s="32">
        <v>0</v>
      </c>
      <c r="P5" s="32">
        <v>0</v>
      </c>
      <c r="Q5" s="32">
        <v>0</v>
      </c>
      <c r="R5" s="32">
        <v>0</v>
      </c>
      <c r="S5" s="32">
        <v>0</v>
      </c>
      <c r="T5" s="32">
        <v>0</v>
      </c>
      <c r="U5" s="32">
        <v>0</v>
      </c>
      <c r="V5" s="32">
        <v>0</v>
      </c>
      <c r="W5" s="32">
        <v>0</v>
      </c>
      <c r="X5" s="32">
        <v>0</v>
      </c>
      <c r="Y5" s="32">
        <v>0</v>
      </c>
      <c r="Z5" s="32">
        <v>0</v>
      </c>
      <c r="AA5" s="32">
        <v>0</v>
      </c>
      <c r="AB5" s="32">
        <v>0</v>
      </c>
      <c r="AC5" s="32">
        <v>0</v>
      </c>
      <c r="AD5" s="32">
        <v>0</v>
      </c>
      <c r="AE5" s="32">
        <v>0</v>
      </c>
      <c r="AF5" s="32">
        <v>0</v>
      </c>
      <c r="AG5" s="32">
        <v>0</v>
      </c>
      <c r="AH5" s="32">
        <v>0</v>
      </c>
      <c r="AI5" s="32">
        <v>0</v>
      </c>
      <c r="AJ5" s="32">
        <v>0</v>
      </c>
      <c r="AK5" s="32">
        <v>0</v>
      </c>
      <c r="AL5" s="32">
        <v>0</v>
      </c>
      <c r="AM5" s="32">
        <v>23438513</v>
      </c>
      <c r="AN5" s="32">
        <v>0</v>
      </c>
      <c r="AO5" s="32">
        <v>0</v>
      </c>
      <c r="AP5" s="32">
        <v>0</v>
      </c>
      <c r="AQ5" s="32">
        <v>0</v>
      </c>
      <c r="AR5" s="32">
        <v>0</v>
      </c>
      <c r="AS5" s="32">
        <v>0</v>
      </c>
      <c r="AT5" s="32">
        <v>0</v>
      </c>
      <c r="AU5" s="32">
        <v>0</v>
      </c>
      <c r="AV5" s="32">
        <v>0</v>
      </c>
      <c r="AW5" s="32">
        <v>0</v>
      </c>
      <c r="AX5" s="32">
        <v>23438513</v>
      </c>
    </row>
    <row r="6" spans="1:50" ht="13.8">
      <c r="A6" s="30" t="s">
        <v>10</v>
      </c>
      <c r="B6" s="30" t="s">
        <v>85</v>
      </c>
      <c r="C6" s="32">
        <v>2255622617471</v>
      </c>
      <c r="D6" s="32">
        <v>0</v>
      </c>
      <c r="E6" s="32">
        <v>0</v>
      </c>
      <c r="F6" s="32">
        <v>0</v>
      </c>
      <c r="G6" s="32">
        <v>0</v>
      </c>
      <c r="H6" s="32">
        <v>0</v>
      </c>
      <c r="I6" s="32">
        <v>0</v>
      </c>
      <c r="J6" s="32">
        <v>0</v>
      </c>
      <c r="K6" s="32">
        <v>0</v>
      </c>
      <c r="L6" s="33" t="s">
        <v>89</v>
      </c>
      <c r="M6" s="32">
        <v>0</v>
      </c>
      <c r="N6" s="32">
        <v>0</v>
      </c>
      <c r="O6" s="32">
        <v>0</v>
      </c>
      <c r="P6" s="32">
        <v>0</v>
      </c>
      <c r="Q6" s="32">
        <v>0</v>
      </c>
      <c r="R6" s="32">
        <v>0</v>
      </c>
      <c r="S6" s="32">
        <v>0</v>
      </c>
      <c r="T6" s="32">
        <v>0</v>
      </c>
      <c r="U6" s="32">
        <v>0</v>
      </c>
      <c r="V6" s="32">
        <v>0</v>
      </c>
      <c r="W6" s="32">
        <v>0</v>
      </c>
      <c r="X6" s="32">
        <v>0</v>
      </c>
      <c r="Y6" s="32">
        <v>7330746803</v>
      </c>
      <c r="Z6" s="32">
        <v>0</v>
      </c>
      <c r="AA6" s="32">
        <v>0</v>
      </c>
      <c r="AB6" s="32">
        <v>0</v>
      </c>
      <c r="AC6" s="32">
        <v>0</v>
      </c>
      <c r="AD6" s="32">
        <v>0</v>
      </c>
      <c r="AE6" s="32">
        <v>0</v>
      </c>
      <c r="AF6" s="32">
        <v>0</v>
      </c>
      <c r="AG6" s="32">
        <v>0</v>
      </c>
      <c r="AH6" s="32">
        <v>0</v>
      </c>
      <c r="AI6" s="32">
        <v>0</v>
      </c>
      <c r="AJ6" s="32">
        <v>0</v>
      </c>
      <c r="AK6" s="32">
        <v>0</v>
      </c>
      <c r="AL6" s="32">
        <v>0</v>
      </c>
      <c r="AM6" s="32">
        <v>0</v>
      </c>
      <c r="AN6" s="32">
        <v>0</v>
      </c>
      <c r="AO6" s="32">
        <v>0</v>
      </c>
      <c r="AP6" s="32">
        <v>0</v>
      </c>
      <c r="AQ6" s="32">
        <v>0</v>
      </c>
      <c r="AR6" s="32">
        <v>0</v>
      </c>
      <c r="AS6" s="32">
        <v>0</v>
      </c>
      <c r="AT6" s="32">
        <v>0</v>
      </c>
      <c r="AU6" s="32">
        <v>0</v>
      </c>
      <c r="AV6" s="32">
        <v>0</v>
      </c>
      <c r="AW6" s="32">
        <v>0</v>
      </c>
      <c r="AX6" s="32">
        <v>2262953364274</v>
      </c>
    </row>
    <row r="7" spans="1:50" ht="13.8">
      <c r="A7" s="30" t="s">
        <v>11</v>
      </c>
      <c r="B7" s="30" t="s">
        <v>85</v>
      </c>
      <c r="C7" s="32">
        <v>0</v>
      </c>
      <c r="D7" s="32">
        <v>0</v>
      </c>
      <c r="E7" s="32">
        <v>110002</v>
      </c>
      <c r="F7" s="32">
        <v>0</v>
      </c>
      <c r="G7" s="32">
        <v>0</v>
      </c>
      <c r="H7" s="32">
        <v>0</v>
      </c>
      <c r="I7" s="32">
        <v>0</v>
      </c>
      <c r="J7" s="32">
        <v>0</v>
      </c>
      <c r="K7" s="32">
        <v>0</v>
      </c>
      <c r="L7" s="32">
        <v>0</v>
      </c>
      <c r="M7" s="33" t="s">
        <v>89</v>
      </c>
      <c r="N7" s="32">
        <v>0</v>
      </c>
      <c r="O7" s="32">
        <v>0</v>
      </c>
      <c r="P7" s="32">
        <v>0</v>
      </c>
      <c r="Q7" s="32">
        <v>0</v>
      </c>
      <c r="R7" s="32">
        <v>0</v>
      </c>
      <c r="S7" s="32">
        <v>0</v>
      </c>
      <c r="T7" s="32">
        <v>0</v>
      </c>
      <c r="U7" s="32">
        <v>0</v>
      </c>
      <c r="V7" s="32">
        <v>0</v>
      </c>
      <c r="W7" s="32">
        <v>0</v>
      </c>
      <c r="X7" s="32">
        <v>0</v>
      </c>
      <c r="Y7" s="32">
        <v>0</v>
      </c>
      <c r="Z7" s="32">
        <v>0</v>
      </c>
      <c r="AA7" s="32">
        <v>0</v>
      </c>
      <c r="AB7" s="32">
        <v>0</v>
      </c>
      <c r="AC7" s="32">
        <v>0</v>
      </c>
      <c r="AD7" s="32">
        <v>0</v>
      </c>
      <c r="AE7" s="32">
        <v>0</v>
      </c>
      <c r="AF7" s="32">
        <v>0</v>
      </c>
      <c r="AG7" s="32">
        <v>0</v>
      </c>
      <c r="AH7" s="32">
        <v>0</v>
      </c>
      <c r="AI7" s="32">
        <v>0</v>
      </c>
      <c r="AJ7" s="32">
        <v>0</v>
      </c>
      <c r="AK7" s="32">
        <v>0</v>
      </c>
      <c r="AL7" s="32">
        <v>0</v>
      </c>
      <c r="AM7" s="32">
        <v>0</v>
      </c>
      <c r="AN7" s="32">
        <v>0</v>
      </c>
      <c r="AO7" s="32">
        <v>0</v>
      </c>
      <c r="AP7" s="32">
        <v>4817</v>
      </c>
      <c r="AQ7" s="32">
        <v>0</v>
      </c>
      <c r="AR7" s="32">
        <v>0</v>
      </c>
      <c r="AS7" s="32">
        <v>0</v>
      </c>
      <c r="AT7" s="32">
        <v>0</v>
      </c>
      <c r="AU7" s="32">
        <v>0</v>
      </c>
      <c r="AV7" s="32">
        <v>0</v>
      </c>
      <c r="AW7" s="32">
        <v>0</v>
      </c>
      <c r="AX7" s="32">
        <v>114819</v>
      </c>
    </row>
    <row r="8" spans="1:50" ht="13.8">
      <c r="A8" s="30" t="s">
        <v>12</v>
      </c>
      <c r="B8" s="30" t="s">
        <v>85</v>
      </c>
      <c r="C8" s="32">
        <v>0</v>
      </c>
      <c r="D8" s="32">
        <v>0</v>
      </c>
      <c r="E8" s="32">
        <v>0</v>
      </c>
      <c r="F8" s="32">
        <v>0</v>
      </c>
      <c r="G8" s="32">
        <v>0</v>
      </c>
      <c r="H8" s="32">
        <v>0</v>
      </c>
      <c r="I8" s="32">
        <v>0</v>
      </c>
      <c r="J8" s="32">
        <v>0</v>
      </c>
      <c r="K8" s="32">
        <v>0</v>
      </c>
      <c r="L8" s="32">
        <v>0</v>
      </c>
      <c r="M8" s="32">
        <v>0</v>
      </c>
      <c r="N8" s="33" t="s">
        <v>89</v>
      </c>
      <c r="O8" s="32">
        <v>0</v>
      </c>
      <c r="P8" s="32">
        <v>0</v>
      </c>
      <c r="Q8" s="32">
        <v>0</v>
      </c>
      <c r="R8" s="32">
        <v>0</v>
      </c>
      <c r="S8" s="32">
        <v>0</v>
      </c>
      <c r="T8" s="32">
        <v>0</v>
      </c>
      <c r="U8" s="32">
        <v>0</v>
      </c>
      <c r="V8" s="32">
        <v>0</v>
      </c>
      <c r="W8" s="32">
        <v>0</v>
      </c>
      <c r="X8" s="32">
        <v>0</v>
      </c>
      <c r="Y8" s="32">
        <v>0</v>
      </c>
      <c r="Z8" s="32">
        <v>0</v>
      </c>
      <c r="AA8" s="32">
        <v>0</v>
      </c>
      <c r="AB8" s="32">
        <v>0</v>
      </c>
      <c r="AC8" s="32">
        <v>0</v>
      </c>
      <c r="AD8" s="32">
        <v>0</v>
      </c>
      <c r="AE8" s="32">
        <v>0</v>
      </c>
      <c r="AF8" s="32">
        <v>0</v>
      </c>
      <c r="AG8" s="32">
        <v>0</v>
      </c>
      <c r="AH8" s="32">
        <v>0</v>
      </c>
      <c r="AI8" s="32">
        <v>0</v>
      </c>
      <c r="AJ8" s="32">
        <v>0</v>
      </c>
      <c r="AK8" s="32">
        <v>0</v>
      </c>
      <c r="AL8" s="32">
        <v>691005297</v>
      </c>
      <c r="AM8" s="32">
        <v>0</v>
      </c>
      <c r="AN8" s="32">
        <v>0</v>
      </c>
      <c r="AO8" s="32">
        <v>0</v>
      </c>
      <c r="AP8" s="32">
        <v>0</v>
      </c>
      <c r="AQ8" s="32">
        <v>0</v>
      </c>
      <c r="AR8" s="32">
        <v>0</v>
      </c>
      <c r="AS8" s="32">
        <v>0</v>
      </c>
      <c r="AT8" s="32">
        <v>0</v>
      </c>
      <c r="AU8" s="32">
        <v>0</v>
      </c>
      <c r="AV8" s="32">
        <v>0</v>
      </c>
      <c r="AW8" s="32">
        <v>0</v>
      </c>
      <c r="AX8" s="32">
        <v>691005297</v>
      </c>
    </row>
    <row r="9" spans="1:50" ht="13.8">
      <c r="A9" s="30" t="s">
        <v>16</v>
      </c>
      <c r="B9" s="30" t="s">
        <v>85</v>
      </c>
      <c r="C9" s="32">
        <v>0</v>
      </c>
      <c r="D9" s="32">
        <v>0</v>
      </c>
      <c r="E9" s="32">
        <v>0</v>
      </c>
      <c r="F9" s="32">
        <v>0</v>
      </c>
      <c r="G9" s="32">
        <v>0</v>
      </c>
      <c r="H9" s="32">
        <v>0</v>
      </c>
      <c r="I9" s="32">
        <v>0</v>
      </c>
      <c r="J9" s="32">
        <v>0</v>
      </c>
      <c r="K9" s="32">
        <v>0</v>
      </c>
      <c r="L9" s="32">
        <v>0</v>
      </c>
      <c r="M9" s="32">
        <v>0</v>
      </c>
      <c r="N9" s="32">
        <v>0</v>
      </c>
      <c r="O9" s="32">
        <v>0</v>
      </c>
      <c r="P9" s="32">
        <v>0</v>
      </c>
      <c r="Q9" s="32">
        <v>0</v>
      </c>
      <c r="R9" s="32">
        <v>0</v>
      </c>
      <c r="S9" s="33" t="s">
        <v>89</v>
      </c>
      <c r="T9" s="33" t="s">
        <v>89</v>
      </c>
      <c r="U9" s="32">
        <v>0</v>
      </c>
      <c r="V9" s="63">
        <v>0</v>
      </c>
      <c r="W9" s="32">
        <v>0</v>
      </c>
      <c r="X9" s="32">
        <v>0</v>
      </c>
      <c r="Y9" s="32">
        <v>0</v>
      </c>
      <c r="Z9" s="32">
        <v>595087</v>
      </c>
      <c r="AA9" s="32">
        <v>0</v>
      </c>
      <c r="AB9" s="32">
        <v>0</v>
      </c>
      <c r="AC9" s="32">
        <v>0</v>
      </c>
      <c r="AD9" s="32">
        <v>20300</v>
      </c>
      <c r="AE9" s="32">
        <v>0</v>
      </c>
      <c r="AF9" s="32">
        <v>0</v>
      </c>
      <c r="AG9" s="63">
        <v>0</v>
      </c>
      <c r="AH9" s="32">
        <v>0</v>
      </c>
      <c r="AI9" s="32">
        <v>0</v>
      </c>
      <c r="AJ9" s="32">
        <v>0</v>
      </c>
      <c r="AK9" s="32">
        <v>0</v>
      </c>
      <c r="AL9" s="32">
        <v>1280861749</v>
      </c>
      <c r="AM9" s="32">
        <v>0</v>
      </c>
      <c r="AN9" s="32">
        <v>0</v>
      </c>
      <c r="AO9" s="32">
        <v>0</v>
      </c>
      <c r="AP9" s="32">
        <v>0</v>
      </c>
      <c r="AQ9" s="63">
        <v>0</v>
      </c>
      <c r="AR9" s="32">
        <v>0</v>
      </c>
      <c r="AS9" s="63">
        <v>0</v>
      </c>
      <c r="AT9" s="32">
        <v>0</v>
      </c>
      <c r="AU9" s="32">
        <v>0</v>
      </c>
      <c r="AV9" s="32">
        <v>0</v>
      </c>
      <c r="AW9" s="32">
        <v>0</v>
      </c>
      <c r="AX9" s="32">
        <v>1281477136</v>
      </c>
    </row>
    <row r="10" spans="1:50" ht="13.8">
      <c r="A10" s="30" t="s">
        <v>19</v>
      </c>
      <c r="B10" s="30" t="s">
        <v>85</v>
      </c>
      <c r="C10" s="32">
        <v>0</v>
      </c>
      <c r="D10" s="32">
        <v>0</v>
      </c>
      <c r="E10" s="32">
        <v>0</v>
      </c>
      <c r="F10" s="32">
        <v>0</v>
      </c>
      <c r="G10" s="32">
        <v>0</v>
      </c>
      <c r="H10" s="32">
        <v>0</v>
      </c>
      <c r="I10" s="32">
        <v>0</v>
      </c>
      <c r="J10" s="32">
        <v>0</v>
      </c>
      <c r="K10" s="32">
        <v>0</v>
      </c>
      <c r="L10" s="32">
        <v>0</v>
      </c>
      <c r="M10" s="32">
        <v>0</v>
      </c>
      <c r="N10" s="32">
        <v>0</v>
      </c>
      <c r="O10" s="32">
        <v>0</v>
      </c>
      <c r="P10" s="32">
        <v>0</v>
      </c>
      <c r="Q10" s="32">
        <v>2710</v>
      </c>
      <c r="R10" s="32">
        <v>0</v>
      </c>
      <c r="S10" s="32">
        <v>0</v>
      </c>
      <c r="T10" s="32">
        <v>6567</v>
      </c>
      <c r="U10" s="32">
        <v>0</v>
      </c>
      <c r="V10" s="32">
        <v>0</v>
      </c>
      <c r="W10" s="32">
        <v>0</v>
      </c>
      <c r="X10" s="32">
        <v>0</v>
      </c>
      <c r="Y10" s="33" t="s">
        <v>89</v>
      </c>
      <c r="Z10" s="33" t="s">
        <v>89</v>
      </c>
      <c r="AA10" s="32">
        <v>0</v>
      </c>
      <c r="AB10" s="32">
        <v>0</v>
      </c>
      <c r="AC10" s="32">
        <v>0</v>
      </c>
      <c r="AD10" s="32">
        <v>358491</v>
      </c>
      <c r="AE10" s="63">
        <v>0</v>
      </c>
      <c r="AF10" s="32">
        <v>0</v>
      </c>
      <c r="AG10" s="32">
        <v>0</v>
      </c>
      <c r="AH10" s="32">
        <v>0</v>
      </c>
      <c r="AI10" s="32">
        <v>0</v>
      </c>
      <c r="AJ10" s="32">
        <v>0</v>
      </c>
      <c r="AK10" s="32">
        <v>0</v>
      </c>
      <c r="AL10" s="32">
        <v>0</v>
      </c>
      <c r="AM10" s="32">
        <v>0</v>
      </c>
      <c r="AN10" s="32">
        <v>0</v>
      </c>
      <c r="AO10" s="32">
        <v>0</v>
      </c>
      <c r="AP10" s="32">
        <v>0</v>
      </c>
      <c r="AQ10" s="32">
        <v>0</v>
      </c>
      <c r="AR10" s="32">
        <v>0</v>
      </c>
      <c r="AS10" s="32">
        <v>0</v>
      </c>
      <c r="AT10" s="32">
        <v>0</v>
      </c>
      <c r="AU10" s="32">
        <v>0</v>
      </c>
      <c r="AV10" s="32">
        <v>0</v>
      </c>
      <c r="AW10" s="32">
        <v>0</v>
      </c>
      <c r="AX10" s="32">
        <v>367768</v>
      </c>
    </row>
    <row r="11" spans="1:50" ht="13.8">
      <c r="A11" s="30" t="s">
        <v>26</v>
      </c>
      <c r="B11" s="30" t="s">
        <v>85</v>
      </c>
      <c r="C11" s="32">
        <v>0</v>
      </c>
      <c r="D11" s="32">
        <v>0</v>
      </c>
      <c r="E11" s="32">
        <v>0</v>
      </c>
      <c r="F11" s="32">
        <v>0</v>
      </c>
      <c r="G11" s="32">
        <v>0</v>
      </c>
      <c r="H11" s="32">
        <v>0</v>
      </c>
      <c r="I11" s="32">
        <v>0</v>
      </c>
      <c r="J11" s="32">
        <v>0</v>
      </c>
      <c r="K11" s="32">
        <v>0</v>
      </c>
      <c r="L11" s="32">
        <v>0</v>
      </c>
      <c r="M11" s="32">
        <v>0</v>
      </c>
      <c r="N11" s="32">
        <v>0</v>
      </c>
      <c r="O11" s="32">
        <v>0</v>
      </c>
      <c r="P11" s="32">
        <v>0</v>
      </c>
      <c r="Q11" s="32">
        <v>0</v>
      </c>
      <c r="R11" s="32">
        <v>0</v>
      </c>
      <c r="S11" s="32">
        <v>0</v>
      </c>
      <c r="T11" s="32">
        <v>0</v>
      </c>
      <c r="U11" s="32">
        <v>0</v>
      </c>
      <c r="V11" s="32">
        <v>0</v>
      </c>
      <c r="W11" s="32">
        <v>0</v>
      </c>
      <c r="X11" s="32">
        <v>0</v>
      </c>
      <c r="Y11" s="32">
        <v>0</v>
      </c>
      <c r="Z11" s="32">
        <v>0</v>
      </c>
      <c r="AA11" s="32">
        <v>0</v>
      </c>
      <c r="AB11" s="32">
        <v>0</v>
      </c>
      <c r="AC11" s="32">
        <v>0</v>
      </c>
      <c r="AD11" s="32">
        <v>0</v>
      </c>
      <c r="AE11" s="32">
        <v>0</v>
      </c>
      <c r="AF11" s="32">
        <v>0</v>
      </c>
      <c r="AG11" s="32">
        <v>0</v>
      </c>
      <c r="AH11" s="32">
        <v>0</v>
      </c>
      <c r="AI11" s="32">
        <v>0</v>
      </c>
      <c r="AJ11" s="32">
        <v>0</v>
      </c>
      <c r="AK11" s="32">
        <v>0</v>
      </c>
      <c r="AL11" s="32">
        <v>0</v>
      </c>
      <c r="AM11" s="32">
        <v>0</v>
      </c>
      <c r="AN11" s="32">
        <v>0</v>
      </c>
      <c r="AO11" s="32">
        <v>0</v>
      </c>
      <c r="AP11" s="32">
        <v>0</v>
      </c>
      <c r="AQ11" s="32">
        <v>0</v>
      </c>
      <c r="AR11" s="32">
        <v>0</v>
      </c>
      <c r="AS11" s="32">
        <v>0</v>
      </c>
      <c r="AT11" s="33" t="s">
        <v>89</v>
      </c>
      <c r="AU11" s="33" t="s">
        <v>89</v>
      </c>
      <c r="AV11" s="32">
        <v>10559999</v>
      </c>
      <c r="AW11" s="32">
        <v>0</v>
      </c>
      <c r="AX11" s="32">
        <v>10559999</v>
      </c>
    </row>
    <row r="12" spans="1:50" ht="13.8">
      <c r="A12" s="30" t="s">
        <v>28</v>
      </c>
      <c r="B12" s="30" t="s">
        <v>85</v>
      </c>
      <c r="C12" s="32">
        <v>0</v>
      </c>
      <c r="D12" s="32">
        <v>0</v>
      </c>
      <c r="E12" s="32">
        <v>0</v>
      </c>
      <c r="F12" s="32">
        <v>0</v>
      </c>
      <c r="G12" s="32">
        <v>0</v>
      </c>
      <c r="H12" s="32">
        <v>0</v>
      </c>
      <c r="I12" s="32">
        <v>0</v>
      </c>
      <c r="J12" s="32">
        <v>0</v>
      </c>
      <c r="K12" s="32">
        <v>0</v>
      </c>
      <c r="L12" s="63">
        <v>0</v>
      </c>
      <c r="M12" s="32">
        <v>0</v>
      </c>
      <c r="N12" s="32">
        <v>0</v>
      </c>
      <c r="O12" s="32">
        <v>0</v>
      </c>
      <c r="P12" s="32">
        <v>0</v>
      </c>
      <c r="Q12" s="32">
        <v>0</v>
      </c>
      <c r="R12" s="32">
        <v>0</v>
      </c>
      <c r="S12" s="32">
        <v>0</v>
      </c>
      <c r="T12" s="32">
        <v>0</v>
      </c>
      <c r="U12" s="32">
        <v>0</v>
      </c>
      <c r="V12" s="32">
        <v>0</v>
      </c>
      <c r="W12" s="32">
        <v>0</v>
      </c>
      <c r="X12" s="32">
        <v>0</v>
      </c>
      <c r="Y12" s="32">
        <v>0</v>
      </c>
      <c r="Z12" s="32">
        <v>0</v>
      </c>
      <c r="AA12" s="32">
        <v>0</v>
      </c>
      <c r="AB12" s="32">
        <v>0</v>
      </c>
      <c r="AC12" s="33" t="s">
        <v>89</v>
      </c>
      <c r="AD12" s="33" t="s">
        <v>89</v>
      </c>
      <c r="AE12" s="32">
        <v>0</v>
      </c>
      <c r="AF12" s="32">
        <v>469020</v>
      </c>
      <c r="AG12" s="32">
        <v>0</v>
      </c>
      <c r="AH12" s="32">
        <v>0</v>
      </c>
      <c r="AI12" s="32">
        <v>0</v>
      </c>
      <c r="AJ12" s="32">
        <v>0</v>
      </c>
      <c r="AK12" s="32">
        <v>0</v>
      </c>
      <c r="AL12" s="32">
        <v>1183842626</v>
      </c>
      <c r="AM12" s="32">
        <v>0</v>
      </c>
      <c r="AN12" s="32">
        <v>0</v>
      </c>
      <c r="AO12" s="32">
        <v>0</v>
      </c>
      <c r="AP12" s="32">
        <v>0</v>
      </c>
      <c r="AQ12" s="32">
        <v>0</v>
      </c>
      <c r="AR12" s="32">
        <v>0</v>
      </c>
      <c r="AS12" s="32">
        <v>0</v>
      </c>
      <c r="AT12" s="32">
        <v>0</v>
      </c>
      <c r="AU12" s="32">
        <v>0</v>
      </c>
      <c r="AV12" s="32">
        <v>0</v>
      </c>
      <c r="AW12" s="32">
        <v>0</v>
      </c>
      <c r="AX12" s="32">
        <v>1184311646</v>
      </c>
    </row>
    <row r="13" spans="1:50" ht="13.8">
      <c r="A13" s="30" t="s">
        <v>30</v>
      </c>
      <c r="B13" s="30" t="s">
        <v>85</v>
      </c>
      <c r="C13" s="32">
        <v>0</v>
      </c>
      <c r="D13" s="32">
        <v>0</v>
      </c>
      <c r="E13" s="32">
        <v>0</v>
      </c>
      <c r="F13" s="32">
        <v>0</v>
      </c>
      <c r="G13" s="32">
        <v>0</v>
      </c>
      <c r="H13" s="32">
        <v>0</v>
      </c>
      <c r="I13" s="32">
        <v>0</v>
      </c>
      <c r="J13" s="32">
        <v>0</v>
      </c>
      <c r="K13" s="32">
        <v>0</v>
      </c>
      <c r="L13" s="32">
        <v>0</v>
      </c>
      <c r="M13" s="32">
        <v>0</v>
      </c>
      <c r="N13" s="32">
        <v>0</v>
      </c>
      <c r="O13" s="32">
        <v>0</v>
      </c>
      <c r="P13" s="32">
        <v>0</v>
      </c>
      <c r="Q13" s="32">
        <v>0</v>
      </c>
      <c r="R13" s="32">
        <v>0</v>
      </c>
      <c r="S13" s="32">
        <v>0</v>
      </c>
      <c r="T13" s="32">
        <v>0</v>
      </c>
      <c r="U13" s="32">
        <v>0</v>
      </c>
      <c r="V13" s="32">
        <v>0</v>
      </c>
      <c r="W13" s="32">
        <v>0</v>
      </c>
      <c r="X13" s="32">
        <v>0</v>
      </c>
      <c r="Y13" s="32">
        <v>0</v>
      </c>
      <c r="Z13" s="32">
        <v>0</v>
      </c>
      <c r="AA13" s="32">
        <v>0</v>
      </c>
      <c r="AB13" s="32">
        <v>0</v>
      </c>
      <c r="AC13" s="32">
        <v>0</v>
      </c>
      <c r="AD13" s="32">
        <v>0</v>
      </c>
      <c r="AE13" s="33" t="s">
        <v>89</v>
      </c>
      <c r="AF13" s="33" t="s">
        <v>89</v>
      </c>
      <c r="AG13" s="32">
        <v>0</v>
      </c>
      <c r="AH13" s="32">
        <v>0</v>
      </c>
      <c r="AI13" s="32">
        <v>0</v>
      </c>
      <c r="AJ13" s="32">
        <v>0</v>
      </c>
      <c r="AK13" s="32">
        <v>0</v>
      </c>
      <c r="AL13" s="32">
        <v>935295308</v>
      </c>
      <c r="AM13" s="32">
        <v>0</v>
      </c>
      <c r="AN13" s="32">
        <v>0</v>
      </c>
      <c r="AO13" s="32">
        <v>0</v>
      </c>
      <c r="AP13" s="32">
        <v>0</v>
      </c>
      <c r="AQ13" s="32">
        <v>0</v>
      </c>
      <c r="AR13" s="32">
        <v>0</v>
      </c>
      <c r="AS13" s="32">
        <v>0</v>
      </c>
      <c r="AT13" s="32">
        <v>0</v>
      </c>
      <c r="AU13" s="32">
        <v>0</v>
      </c>
      <c r="AV13" s="32">
        <v>0</v>
      </c>
      <c r="AW13" s="32">
        <v>0</v>
      </c>
      <c r="AX13" s="32">
        <v>935295308</v>
      </c>
    </row>
    <row r="14" spans="1:50" ht="13.8">
      <c r="A14" s="30" t="s">
        <v>33</v>
      </c>
      <c r="B14" s="30" t="s">
        <v>85</v>
      </c>
      <c r="C14" s="32">
        <v>30750169</v>
      </c>
      <c r="D14" s="32">
        <v>0</v>
      </c>
      <c r="E14" s="32">
        <v>0</v>
      </c>
      <c r="F14" s="32">
        <v>0</v>
      </c>
      <c r="G14" s="32">
        <v>0</v>
      </c>
      <c r="H14" s="32">
        <v>0</v>
      </c>
      <c r="I14" s="32">
        <v>0</v>
      </c>
      <c r="J14" s="32">
        <v>0</v>
      </c>
      <c r="K14" s="32">
        <v>0</v>
      </c>
      <c r="L14" s="32">
        <v>0</v>
      </c>
      <c r="M14" s="32">
        <v>0</v>
      </c>
      <c r="N14" s="32">
        <v>0</v>
      </c>
      <c r="O14" s="32">
        <v>0</v>
      </c>
      <c r="P14" s="32">
        <v>0</v>
      </c>
      <c r="Q14" s="32">
        <v>0</v>
      </c>
      <c r="R14" s="32">
        <v>0</v>
      </c>
      <c r="S14" s="32">
        <v>0</v>
      </c>
      <c r="T14" s="32">
        <v>0</v>
      </c>
      <c r="U14" s="32">
        <v>0</v>
      </c>
      <c r="V14" s="32">
        <v>0</v>
      </c>
      <c r="W14" s="32">
        <v>0</v>
      </c>
      <c r="X14" s="32">
        <v>0</v>
      </c>
      <c r="Y14" s="32">
        <v>0</v>
      </c>
      <c r="Z14" s="32">
        <v>0</v>
      </c>
      <c r="AA14" s="32">
        <v>0</v>
      </c>
      <c r="AB14" s="32">
        <v>0</v>
      </c>
      <c r="AC14" s="32">
        <v>0</v>
      </c>
      <c r="AD14" s="32">
        <v>0</v>
      </c>
      <c r="AE14" s="32">
        <v>0</v>
      </c>
      <c r="AF14" s="32">
        <v>0</v>
      </c>
      <c r="AG14" s="32">
        <v>0</v>
      </c>
      <c r="AH14" s="32">
        <v>0</v>
      </c>
      <c r="AI14" s="33" t="s">
        <v>89</v>
      </c>
      <c r="AJ14" s="33" t="s">
        <v>89</v>
      </c>
      <c r="AK14" s="32">
        <v>0</v>
      </c>
      <c r="AL14" s="32">
        <v>0</v>
      </c>
      <c r="AM14" s="32">
        <v>0</v>
      </c>
      <c r="AN14" s="32">
        <v>0</v>
      </c>
      <c r="AO14" s="32">
        <v>0</v>
      </c>
      <c r="AP14" s="32">
        <v>0</v>
      </c>
      <c r="AQ14" s="32">
        <v>0</v>
      </c>
      <c r="AR14" s="32">
        <v>0</v>
      </c>
      <c r="AS14" s="32">
        <v>0</v>
      </c>
      <c r="AT14" s="32">
        <v>0</v>
      </c>
      <c r="AU14" s="32">
        <v>0</v>
      </c>
      <c r="AV14" s="32">
        <v>0</v>
      </c>
      <c r="AW14" s="32">
        <v>0</v>
      </c>
      <c r="AX14" s="32">
        <v>30750169</v>
      </c>
    </row>
    <row r="15" spans="1:50" ht="13.8">
      <c r="A15" s="30" t="s">
        <v>14</v>
      </c>
      <c r="B15" s="30" t="s">
        <v>85</v>
      </c>
      <c r="C15" s="32">
        <v>0</v>
      </c>
      <c r="D15" s="32">
        <v>0</v>
      </c>
      <c r="E15" s="32">
        <v>0</v>
      </c>
      <c r="F15" s="32">
        <v>0</v>
      </c>
      <c r="G15" s="32">
        <v>0</v>
      </c>
      <c r="H15" s="32">
        <v>0</v>
      </c>
      <c r="I15" s="32">
        <v>0</v>
      </c>
      <c r="J15" s="32">
        <v>0</v>
      </c>
      <c r="K15" s="32">
        <v>0</v>
      </c>
      <c r="L15" s="32">
        <v>0</v>
      </c>
      <c r="M15" s="32">
        <v>0</v>
      </c>
      <c r="N15" s="32">
        <v>0</v>
      </c>
      <c r="O15" s="32">
        <v>0</v>
      </c>
      <c r="P15" s="33" t="s">
        <v>89</v>
      </c>
      <c r="Q15" s="33" t="s">
        <v>89</v>
      </c>
      <c r="R15" s="32">
        <v>0</v>
      </c>
      <c r="S15" s="32">
        <v>0</v>
      </c>
      <c r="T15" s="32">
        <v>242790712</v>
      </c>
      <c r="U15" s="32">
        <v>0</v>
      </c>
      <c r="V15" s="32">
        <v>0</v>
      </c>
      <c r="W15" s="32">
        <v>0</v>
      </c>
      <c r="X15" s="32">
        <v>0</v>
      </c>
      <c r="Y15" s="32">
        <v>0</v>
      </c>
      <c r="Z15" s="32">
        <v>279898</v>
      </c>
      <c r="AA15" s="32">
        <v>0</v>
      </c>
      <c r="AB15" s="32">
        <v>0</v>
      </c>
      <c r="AC15" s="32">
        <v>0</v>
      </c>
      <c r="AD15" s="32">
        <v>0</v>
      </c>
      <c r="AE15" s="32">
        <v>0</v>
      </c>
      <c r="AF15" s="32">
        <v>0</v>
      </c>
      <c r="AG15" s="32">
        <v>0</v>
      </c>
      <c r="AH15" s="32">
        <v>0</v>
      </c>
      <c r="AI15" s="32">
        <v>0</v>
      </c>
      <c r="AJ15" s="32">
        <v>0</v>
      </c>
      <c r="AK15" s="32">
        <v>0</v>
      </c>
      <c r="AL15" s="32">
        <v>0</v>
      </c>
      <c r="AM15" s="32">
        <v>0</v>
      </c>
      <c r="AN15" s="32">
        <v>0</v>
      </c>
      <c r="AO15" s="32">
        <v>0</v>
      </c>
      <c r="AP15" s="32">
        <v>0</v>
      </c>
      <c r="AQ15" s="32">
        <v>0</v>
      </c>
      <c r="AR15" s="32">
        <v>0</v>
      </c>
      <c r="AS15" s="32">
        <v>0</v>
      </c>
      <c r="AT15" s="32">
        <v>0</v>
      </c>
      <c r="AU15" s="32">
        <v>0</v>
      </c>
      <c r="AV15" s="32">
        <v>0</v>
      </c>
      <c r="AW15" s="32">
        <v>0</v>
      </c>
      <c r="AX15" s="32">
        <v>243070610</v>
      </c>
    </row>
    <row r="16" spans="1:50" ht="13.8">
      <c r="A16" s="30" t="s">
        <v>17</v>
      </c>
      <c r="B16" s="30" t="s">
        <v>85</v>
      </c>
      <c r="C16" s="32">
        <v>269742694</v>
      </c>
      <c r="D16" s="32">
        <v>0</v>
      </c>
      <c r="E16" s="32">
        <v>0</v>
      </c>
      <c r="F16" s="32">
        <v>0</v>
      </c>
      <c r="G16" s="32">
        <v>0</v>
      </c>
      <c r="H16" s="32">
        <v>0</v>
      </c>
      <c r="I16" s="32">
        <v>0</v>
      </c>
      <c r="J16" s="32">
        <v>0</v>
      </c>
      <c r="K16" s="32">
        <v>0</v>
      </c>
      <c r="L16" s="32">
        <v>0</v>
      </c>
      <c r="M16" s="32">
        <v>0</v>
      </c>
      <c r="N16" s="32">
        <v>0</v>
      </c>
      <c r="O16" s="32">
        <v>0</v>
      </c>
      <c r="P16" s="32">
        <v>0</v>
      </c>
      <c r="Q16" s="32">
        <v>3218131</v>
      </c>
      <c r="R16" s="32">
        <v>0</v>
      </c>
      <c r="S16" s="32">
        <v>0</v>
      </c>
      <c r="T16" s="32">
        <v>1629218</v>
      </c>
      <c r="U16" s="33" t="s">
        <v>89</v>
      </c>
      <c r="V16" s="33" t="s">
        <v>89</v>
      </c>
      <c r="W16" s="32">
        <v>0</v>
      </c>
      <c r="X16" s="32">
        <v>3185981</v>
      </c>
      <c r="Y16" s="32">
        <v>0</v>
      </c>
      <c r="Z16" s="32">
        <v>0</v>
      </c>
      <c r="AA16" s="32">
        <v>0</v>
      </c>
      <c r="AB16" s="32">
        <v>0</v>
      </c>
      <c r="AC16" s="32">
        <v>0</v>
      </c>
      <c r="AD16" s="32">
        <v>0</v>
      </c>
      <c r="AE16" s="32">
        <v>57489</v>
      </c>
      <c r="AF16" s="32">
        <v>0</v>
      </c>
      <c r="AG16" s="32">
        <v>0</v>
      </c>
      <c r="AH16" s="32">
        <v>0</v>
      </c>
      <c r="AI16" s="32">
        <v>0</v>
      </c>
      <c r="AJ16" s="32">
        <v>0</v>
      </c>
      <c r="AK16" s="32">
        <v>0</v>
      </c>
      <c r="AL16" s="32">
        <v>0</v>
      </c>
      <c r="AM16" s="32">
        <v>0</v>
      </c>
      <c r="AN16" s="32">
        <v>0</v>
      </c>
      <c r="AO16" s="32">
        <v>0</v>
      </c>
      <c r="AP16" s="32">
        <v>0</v>
      </c>
      <c r="AQ16" s="32">
        <v>0</v>
      </c>
      <c r="AR16" s="32">
        <v>0</v>
      </c>
      <c r="AS16" s="32">
        <v>0</v>
      </c>
      <c r="AT16" s="32">
        <v>0</v>
      </c>
      <c r="AU16" s="32">
        <v>0</v>
      </c>
      <c r="AV16" s="32">
        <v>0</v>
      </c>
      <c r="AW16" s="32">
        <v>0</v>
      </c>
      <c r="AX16" s="32">
        <v>277833513</v>
      </c>
    </row>
    <row r="17" spans="1:50" ht="13.8">
      <c r="A17" s="30" t="s">
        <v>18</v>
      </c>
      <c r="B17" s="30" t="s">
        <v>85</v>
      </c>
      <c r="C17" s="32">
        <v>32685997</v>
      </c>
      <c r="D17" s="32">
        <v>0</v>
      </c>
      <c r="E17" s="32">
        <v>0</v>
      </c>
      <c r="F17" s="32">
        <v>0</v>
      </c>
      <c r="G17" s="32">
        <v>0</v>
      </c>
      <c r="H17" s="32">
        <v>0</v>
      </c>
      <c r="I17" s="32">
        <v>0</v>
      </c>
      <c r="J17" s="32">
        <v>0</v>
      </c>
      <c r="K17" s="32">
        <v>0</v>
      </c>
      <c r="L17" s="32">
        <v>0</v>
      </c>
      <c r="M17" s="32">
        <v>0</v>
      </c>
      <c r="N17" s="32">
        <v>0</v>
      </c>
      <c r="O17" s="32">
        <v>0</v>
      </c>
      <c r="P17" s="32">
        <v>0</v>
      </c>
      <c r="Q17" s="32">
        <v>0</v>
      </c>
      <c r="R17" s="32">
        <v>0</v>
      </c>
      <c r="S17" s="32">
        <v>0</v>
      </c>
      <c r="T17" s="32">
        <v>0</v>
      </c>
      <c r="U17" s="32">
        <v>0</v>
      </c>
      <c r="V17" s="32">
        <v>0</v>
      </c>
      <c r="W17" s="33" t="s">
        <v>89</v>
      </c>
      <c r="X17" s="33" t="s">
        <v>89</v>
      </c>
      <c r="Y17" s="32">
        <v>0</v>
      </c>
      <c r="Z17" s="32">
        <v>0</v>
      </c>
      <c r="AA17" s="32">
        <v>0</v>
      </c>
      <c r="AB17" s="32">
        <v>0</v>
      </c>
      <c r="AC17" s="32">
        <v>0</v>
      </c>
      <c r="AD17" s="32">
        <v>0</v>
      </c>
      <c r="AE17" s="32">
        <v>0</v>
      </c>
      <c r="AF17" s="32">
        <v>0</v>
      </c>
      <c r="AG17" s="32">
        <v>0</v>
      </c>
      <c r="AH17" s="32">
        <v>0</v>
      </c>
      <c r="AI17" s="32">
        <v>0</v>
      </c>
      <c r="AJ17" s="32">
        <v>0</v>
      </c>
      <c r="AK17" s="32">
        <v>0</v>
      </c>
      <c r="AL17" s="32">
        <v>0</v>
      </c>
      <c r="AM17" s="32">
        <v>0</v>
      </c>
      <c r="AN17" s="32">
        <v>0</v>
      </c>
      <c r="AO17" s="32">
        <v>0</v>
      </c>
      <c r="AP17" s="32">
        <v>0</v>
      </c>
      <c r="AQ17" s="32">
        <v>0</v>
      </c>
      <c r="AR17" s="32">
        <v>0</v>
      </c>
      <c r="AS17" s="32">
        <v>0</v>
      </c>
      <c r="AT17" s="32">
        <v>0</v>
      </c>
      <c r="AU17" s="32">
        <v>0</v>
      </c>
      <c r="AV17" s="32">
        <v>0</v>
      </c>
      <c r="AW17" s="32">
        <v>0</v>
      </c>
      <c r="AX17" s="32">
        <v>32685997</v>
      </c>
    </row>
    <row r="18" spans="1:50" ht="13.8">
      <c r="A18" s="30" t="s">
        <v>36</v>
      </c>
      <c r="B18" s="30" t="s">
        <v>85</v>
      </c>
      <c r="C18" s="32">
        <v>357771292</v>
      </c>
      <c r="D18" s="32">
        <v>0</v>
      </c>
      <c r="E18" s="32">
        <v>0</v>
      </c>
      <c r="F18" s="32">
        <v>0</v>
      </c>
      <c r="G18" s="32">
        <v>0</v>
      </c>
      <c r="H18" s="32">
        <v>0</v>
      </c>
      <c r="I18" s="32">
        <v>0</v>
      </c>
      <c r="J18" s="32">
        <v>0</v>
      </c>
      <c r="K18" s="32">
        <v>0</v>
      </c>
      <c r="L18" s="32">
        <v>0</v>
      </c>
      <c r="M18" s="32">
        <v>0</v>
      </c>
      <c r="N18" s="32">
        <v>0</v>
      </c>
      <c r="O18" s="32">
        <v>0</v>
      </c>
      <c r="P18" s="32">
        <v>0</v>
      </c>
      <c r="Q18" s="32">
        <v>0</v>
      </c>
      <c r="R18" s="32">
        <v>0</v>
      </c>
      <c r="S18" s="32">
        <v>0</v>
      </c>
      <c r="T18" s="32">
        <v>0</v>
      </c>
      <c r="U18" s="32">
        <v>0</v>
      </c>
      <c r="V18" s="32">
        <v>0</v>
      </c>
      <c r="W18" s="32">
        <v>0</v>
      </c>
      <c r="X18" s="32">
        <v>0</v>
      </c>
      <c r="Y18" s="32">
        <v>0</v>
      </c>
      <c r="Z18" s="32">
        <v>0</v>
      </c>
      <c r="AA18" s="32">
        <v>0</v>
      </c>
      <c r="AB18" s="32">
        <v>0</v>
      </c>
      <c r="AC18" s="32">
        <v>0</v>
      </c>
      <c r="AD18" s="32">
        <v>0</v>
      </c>
      <c r="AE18" s="32">
        <v>0</v>
      </c>
      <c r="AF18" s="32">
        <v>0</v>
      </c>
      <c r="AG18" s="32">
        <v>0</v>
      </c>
      <c r="AH18" s="32">
        <v>0</v>
      </c>
      <c r="AI18" s="32">
        <v>0</v>
      </c>
      <c r="AJ18" s="32">
        <v>0</v>
      </c>
      <c r="AK18" s="32">
        <v>0</v>
      </c>
      <c r="AL18" s="33" t="s">
        <v>89</v>
      </c>
      <c r="AM18" s="33" t="s">
        <v>89</v>
      </c>
      <c r="AN18" s="33" t="s">
        <v>89</v>
      </c>
      <c r="AO18" s="32">
        <v>0</v>
      </c>
      <c r="AP18" s="32">
        <v>0</v>
      </c>
      <c r="AQ18" s="32">
        <v>0</v>
      </c>
      <c r="AR18" s="32">
        <v>0</v>
      </c>
      <c r="AS18" s="32">
        <v>0</v>
      </c>
      <c r="AT18" s="32">
        <v>0</v>
      </c>
      <c r="AU18" s="32">
        <v>0</v>
      </c>
      <c r="AV18" s="32">
        <v>0</v>
      </c>
      <c r="AW18" s="32">
        <v>0</v>
      </c>
      <c r="AX18" s="32">
        <v>357771292</v>
      </c>
    </row>
    <row r="19" spans="1:50" ht="13.8">
      <c r="A19" s="30" t="s">
        <v>37</v>
      </c>
      <c r="B19" s="30" t="s">
        <v>85</v>
      </c>
      <c r="C19" s="32">
        <v>33530</v>
      </c>
      <c r="D19" s="32">
        <v>0</v>
      </c>
      <c r="E19" s="32">
        <v>0</v>
      </c>
      <c r="F19" s="32">
        <v>0</v>
      </c>
      <c r="G19" s="32">
        <v>0</v>
      </c>
      <c r="H19" s="32">
        <v>0</v>
      </c>
      <c r="I19" s="32">
        <v>0</v>
      </c>
      <c r="J19" s="32">
        <v>0</v>
      </c>
      <c r="K19" s="32">
        <v>0</v>
      </c>
      <c r="L19" s="32">
        <v>0</v>
      </c>
      <c r="M19" s="32">
        <v>0</v>
      </c>
      <c r="N19" s="32">
        <v>0</v>
      </c>
      <c r="O19" s="32">
        <v>0</v>
      </c>
      <c r="P19" s="32">
        <v>0</v>
      </c>
      <c r="Q19" s="32">
        <v>0</v>
      </c>
      <c r="R19" s="32">
        <v>0</v>
      </c>
      <c r="S19" s="32">
        <v>0</v>
      </c>
      <c r="T19" s="32">
        <v>0</v>
      </c>
      <c r="U19" s="32">
        <v>0</v>
      </c>
      <c r="V19" s="32">
        <v>0</v>
      </c>
      <c r="W19" s="32">
        <v>0</v>
      </c>
      <c r="X19" s="32">
        <v>0</v>
      </c>
      <c r="Y19" s="32">
        <v>0</v>
      </c>
      <c r="Z19" s="32">
        <v>0</v>
      </c>
      <c r="AA19" s="32">
        <v>1023803</v>
      </c>
      <c r="AB19" s="32">
        <v>0</v>
      </c>
      <c r="AC19" s="32">
        <v>0</v>
      </c>
      <c r="AD19" s="32">
        <v>0</v>
      </c>
      <c r="AE19" s="32">
        <v>0</v>
      </c>
      <c r="AF19" s="32">
        <v>0</v>
      </c>
      <c r="AG19" s="32">
        <v>0</v>
      </c>
      <c r="AH19" s="32">
        <v>0</v>
      </c>
      <c r="AI19" s="32">
        <v>0</v>
      </c>
      <c r="AJ19" s="32">
        <v>0</v>
      </c>
      <c r="AK19" s="32">
        <v>0</v>
      </c>
      <c r="AL19" s="32">
        <v>0</v>
      </c>
      <c r="AM19" s="32">
        <v>0</v>
      </c>
      <c r="AN19" s="32">
        <v>0</v>
      </c>
      <c r="AO19" s="33" t="s">
        <v>89</v>
      </c>
      <c r="AP19" s="33" t="s">
        <v>89</v>
      </c>
      <c r="AQ19" s="32">
        <v>14907917</v>
      </c>
      <c r="AR19" s="32">
        <v>0</v>
      </c>
      <c r="AS19" s="32">
        <v>0</v>
      </c>
      <c r="AT19" s="32">
        <v>0</v>
      </c>
      <c r="AU19" s="32">
        <v>0</v>
      </c>
      <c r="AV19" s="32">
        <v>0</v>
      </c>
      <c r="AW19" s="32">
        <v>0</v>
      </c>
      <c r="AX19" s="32">
        <v>15965250</v>
      </c>
    </row>
    <row r="20" spans="1:50" ht="13.8">
      <c r="A20" s="30" t="s">
        <v>38</v>
      </c>
      <c r="B20" s="30" t="s">
        <v>85</v>
      </c>
      <c r="C20" s="32">
        <v>0</v>
      </c>
      <c r="D20" s="32">
        <v>0</v>
      </c>
      <c r="E20" s="32">
        <v>0</v>
      </c>
      <c r="F20" s="32">
        <v>0</v>
      </c>
      <c r="G20" s="32">
        <v>0</v>
      </c>
      <c r="H20" s="32">
        <v>0</v>
      </c>
      <c r="I20" s="32">
        <v>0</v>
      </c>
      <c r="J20" s="32">
        <v>0</v>
      </c>
      <c r="K20" s="32">
        <v>0</v>
      </c>
      <c r="L20" s="32">
        <v>0</v>
      </c>
      <c r="M20" s="32">
        <v>0</v>
      </c>
      <c r="N20" s="32">
        <v>0</v>
      </c>
      <c r="O20" s="32">
        <v>0</v>
      </c>
      <c r="P20" s="32">
        <v>0</v>
      </c>
      <c r="Q20" s="32">
        <v>0</v>
      </c>
      <c r="R20" s="32">
        <v>0</v>
      </c>
      <c r="S20" s="32">
        <v>0</v>
      </c>
      <c r="T20" s="32">
        <v>0</v>
      </c>
      <c r="U20" s="32">
        <v>0</v>
      </c>
      <c r="V20" s="32">
        <v>0</v>
      </c>
      <c r="W20" s="32">
        <v>0</v>
      </c>
      <c r="X20" s="32">
        <v>0</v>
      </c>
      <c r="Y20" s="32">
        <v>0</v>
      </c>
      <c r="Z20" s="32">
        <v>0</v>
      </c>
      <c r="AA20" s="32">
        <v>0</v>
      </c>
      <c r="AB20" s="32">
        <v>0</v>
      </c>
      <c r="AC20" s="32">
        <v>0</v>
      </c>
      <c r="AD20" s="32">
        <v>0</v>
      </c>
      <c r="AE20" s="32">
        <v>0</v>
      </c>
      <c r="AF20" s="32">
        <v>0</v>
      </c>
      <c r="AG20" s="32">
        <v>0</v>
      </c>
      <c r="AH20" s="32">
        <v>0</v>
      </c>
      <c r="AI20" s="32">
        <v>0</v>
      </c>
      <c r="AJ20" s="32">
        <v>0</v>
      </c>
      <c r="AK20" s="32">
        <v>0</v>
      </c>
      <c r="AL20" s="32">
        <v>0</v>
      </c>
      <c r="AM20" s="32">
        <v>0</v>
      </c>
      <c r="AN20" s="32">
        <v>0</v>
      </c>
      <c r="AO20" s="32">
        <v>17107041</v>
      </c>
      <c r="AP20" s="32">
        <v>0</v>
      </c>
      <c r="AQ20" s="33" t="s">
        <v>89</v>
      </c>
      <c r="AR20" s="32">
        <v>0</v>
      </c>
      <c r="AS20" s="32">
        <v>0</v>
      </c>
      <c r="AT20" s="32">
        <v>0</v>
      </c>
      <c r="AU20" s="32">
        <v>0</v>
      </c>
      <c r="AV20" s="32">
        <v>0</v>
      </c>
      <c r="AW20" s="32">
        <v>0</v>
      </c>
      <c r="AX20" s="32">
        <v>17107041</v>
      </c>
    </row>
    <row r="21" spans="1:50" ht="13.8">
      <c r="A21" s="30" t="s">
        <v>39</v>
      </c>
      <c r="B21" s="30" t="s">
        <v>85</v>
      </c>
      <c r="C21" s="32">
        <v>0</v>
      </c>
      <c r="D21" s="32">
        <v>0</v>
      </c>
      <c r="E21" s="32">
        <v>0</v>
      </c>
      <c r="F21" s="32">
        <v>0</v>
      </c>
      <c r="G21" s="32">
        <v>0</v>
      </c>
      <c r="H21" s="32">
        <v>94356</v>
      </c>
      <c r="I21" s="32">
        <v>0</v>
      </c>
      <c r="J21" s="32">
        <v>0</v>
      </c>
      <c r="K21" s="32">
        <v>0</v>
      </c>
      <c r="L21" s="32">
        <v>0</v>
      </c>
      <c r="M21" s="32">
        <v>0</v>
      </c>
      <c r="N21" s="32">
        <v>0</v>
      </c>
      <c r="O21" s="32">
        <v>0</v>
      </c>
      <c r="P21" s="32">
        <v>0</v>
      </c>
      <c r="Q21" s="32">
        <v>0</v>
      </c>
      <c r="R21" s="32">
        <v>0</v>
      </c>
      <c r="S21" s="32">
        <v>0</v>
      </c>
      <c r="T21" s="32">
        <v>0</v>
      </c>
      <c r="U21" s="32">
        <v>0</v>
      </c>
      <c r="V21" s="32">
        <v>0</v>
      </c>
      <c r="W21" s="32">
        <v>0</v>
      </c>
      <c r="X21" s="32">
        <v>0</v>
      </c>
      <c r="Y21" s="32">
        <v>0</v>
      </c>
      <c r="Z21" s="32">
        <v>0</v>
      </c>
      <c r="AA21" s="32">
        <v>0</v>
      </c>
      <c r="AB21" s="32">
        <v>0</v>
      </c>
      <c r="AC21" s="32">
        <v>0</v>
      </c>
      <c r="AD21" s="32">
        <v>0</v>
      </c>
      <c r="AE21" s="32">
        <v>0</v>
      </c>
      <c r="AF21" s="32">
        <v>0</v>
      </c>
      <c r="AG21" s="32">
        <v>0</v>
      </c>
      <c r="AH21" s="32">
        <v>0</v>
      </c>
      <c r="AI21" s="32">
        <v>0</v>
      </c>
      <c r="AJ21" s="32">
        <v>0</v>
      </c>
      <c r="AK21" s="32">
        <v>0</v>
      </c>
      <c r="AL21" s="32">
        <v>0</v>
      </c>
      <c r="AM21" s="32">
        <v>0</v>
      </c>
      <c r="AN21" s="32">
        <v>0</v>
      </c>
      <c r="AO21" s="32">
        <v>63945977</v>
      </c>
      <c r="AP21" s="32">
        <v>0</v>
      </c>
      <c r="AQ21" s="32">
        <v>0</v>
      </c>
      <c r="AR21" s="33" t="s">
        <v>89</v>
      </c>
      <c r="AS21" s="32">
        <v>0</v>
      </c>
      <c r="AT21" s="32">
        <v>0</v>
      </c>
      <c r="AU21" s="32">
        <v>0</v>
      </c>
      <c r="AV21" s="32">
        <v>0</v>
      </c>
      <c r="AW21" s="32">
        <v>0</v>
      </c>
      <c r="AX21" s="32">
        <v>64040333</v>
      </c>
    </row>
    <row r="22" spans="1:50" ht="13.8">
      <c r="A22" s="30" t="s">
        <v>6</v>
      </c>
      <c r="B22" s="30" t="s">
        <v>86</v>
      </c>
      <c r="C22" s="32">
        <v>0</v>
      </c>
      <c r="D22" s="32">
        <v>0</v>
      </c>
      <c r="E22" s="32">
        <v>0</v>
      </c>
      <c r="F22" s="32">
        <v>0</v>
      </c>
      <c r="G22" s="32">
        <v>0</v>
      </c>
      <c r="H22" s="32">
        <v>0</v>
      </c>
      <c r="I22" s="32">
        <v>0</v>
      </c>
      <c r="J22" s="32">
        <v>0</v>
      </c>
      <c r="K22" s="32">
        <v>0</v>
      </c>
      <c r="L22" s="32">
        <v>0</v>
      </c>
      <c r="M22" s="32">
        <v>0</v>
      </c>
      <c r="N22" s="32">
        <v>0</v>
      </c>
      <c r="O22" s="32">
        <v>3955</v>
      </c>
      <c r="P22" s="32">
        <v>26088</v>
      </c>
      <c r="Q22" s="32">
        <v>0</v>
      </c>
      <c r="R22" s="32">
        <v>3955</v>
      </c>
      <c r="S22" s="32">
        <v>890542</v>
      </c>
      <c r="T22" s="32">
        <v>0</v>
      </c>
      <c r="U22" s="32">
        <v>141524</v>
      </c>
      <c r="V22" s="32">
        <v>0</v>
      </c>
      <c r="W22" s="32">
        <v>0</v>
      </c>
      <c r="X22" s="32">
        <v>0</v>
      </c>
      <c r="Y22" s="32">
        <v>0</v>
      </c>
      <c r="Z22" s="32">
        <v>0</v>
      </c>
      <c r="AA22" s="32">
        <v>0</v>
      </c>
      <c r="AB22" s="32">
        <v>0</v>
      </c>
      <c r="AC22" s="32">
        <v>890542</v>
      </c>
      <c r="AD22" s="32">
        <v>0</v>
      </c>
      <c r="AE22" s="32">
        <v>0</v>
      </c>
      <c r="AF22" s="32">
        <v>0</v>
      </c>
      <c r="AG22" s="32">
        <v>0</v>
      </c>
      <c r="AH22" s="32">
        <v>0</v>
      </c>
      <c r="AI22" s="32">
        <v>0</v>
      </c>
      <c r="AJ22" s="32">
        <v>0</v>
      </c>
      <c r="AK22" s="32">
        <v>4025</v>
      </c>
      <c r="AL22" s="32">
        <v>14500000</v>
      </c>
      <c r="AM22" s="32">
        <v>0</v>
      </c>
      <c r="AN22" s="32">
        <v>0</v>
      </c>
      <c r="AO22" s="32">
        <v>0</v>
      </c>
      <c r="AP22" s="32">
        <v>0</v>
      </c>
      <c r="AQ22" s="32">
        <v>12000000</v>
      </c>
      <c r="AR22" s="32">
        <v>0</v>
      </c>
      <c r="AS22" s="32">
        <v>7770092</v>
      </c>
      <c r="AT22" s="32">
        <v>0</v>
      </c>
      <c r="AU22" s="32">
        <v>0</v>
      </c>
      <c r="AV22" s="32">
        <v>0</v>
      </c>
      <c r="AW22" s="32">
        <v>0</v>
      </c>
      <c r="AX22" s="32">
        <v>36230723</v>
      </c>
    </row>
    <row r="23" spans="1:50" ht="13.8">
      <c r="A23" s="30" t="s">
        <v>8</v>
      </c>
      <c r="B23" s="30" t="s">
        <v>86</v>
      </c>
      <c r="C23" s="32">
        <v>56065</v>
      </c>
      <c r="D23" s="32">
        <v>0</v>
      </c>
      <c r="E23" s="32">
        <v>0</v>
      </c>
      <c r="F23" s="32">
        <v>0</v>
      </c>
      <c r="G23" s="32">
        <v>0</v>
      </c>
      <c r="H23" s="32">
        <v>0</v>
      </c>
      <c r="I23" s="33" t="s">
        <v>89</v>
      </c>
      <c r="J23" s="32">
        <v>0</v>
      </c>
      <c r="K23" s="32">
        <v>0</v>
      </c>
      <c r="L23" s="32">
        <v>0</v>
      </c>
      <c r="M23" s="32">
        <v>0</v>
      </c>
      <c r="N23" s="32">
        <v>0</v>
      </c>
      <c r="O23" s="32">
        <v>0</v>
      </c>
      <c r="P23" s="32">
        <v>0</v>
      </c>
      <c r="Q23" s="32">
        <v>0</v>
      </c>
      <c r="R23" s="32">
        <v>0</v>
      </c>
      <c r="S23" s="32">
        <v>0</v>
      </c>
      <c r="T23" s="32">
        <v>0</v>
      </c>
      <c r="U23" s="32">
        <v>0</v>
      </c>
      <c r="V23" s="32">
        <v>0</v>
      </c>
      <c r="W23" s="32">
        <v>0</v>
      </c>
      <c r="X23" s="32">
        <v>0</v>
      </c>
      <c r="Y23" s="32">
        <v>0</v>
      </c>
      <c r="Z23" s="32">
        <v>0</v>
      </c>
      <c r="AA23" s="32">
        <v>0</v>
      </c>
      <c r="AB23" s="32">
        <v>0</v>
      </c>
      <c r="AC23" s="32">
        <v>0</v>
      </c>
      <c r="AD23" s="32">
        <v>0</v>
      </c>
      <c r="AE23" s="32">
        <v>0</v>
      </c>
      <c r="AF23" s="32">
        <v>0</v>
      </c>
      <c r="AG23" s="32">
        <v>0</v>
      </c>
      <c r="AH23" s="32">
        <v>0</v>
      </c>
      <c r="AI23" s="32">
        <v>0</v>
      </c>
      <c r="AJ23" s="32">
        <v>0</v>
      </c>
      <c r="AK23" s="32">
        <v>0</v>
      </c>
      <c r="AL23" s="32">
        <v>0</v>
      </c>
      <c r="AM23" s="32">
        <v>0</v>
      </c>
      <c r="AN23" s="32">
        <v>0</v>
      </c>
      <c r="AO23" s="32">
        <v>152601</v>
      </c>
      <c r="AP23" s="32">
        <v>0</v>
      </c>
      <c r="AQ23" s="32">
        <v>0</v>
      </c>
      <c r="AR23" s="32">
        <v>0</v>
      </c>
      <c r="AS23" s="32">
        <v>0</v>
      </c>
      <c r="AT23" s="32">
        <v>0</v>
      </c>
      <c r="AU23" s="32">
        <v>0</v>
      </c>
      <c r="AV23" s="32">
        <v>0</v>
      </c>
      <c r="AW23" s="32">
        <v>0</v>
      </c>
      <c r="AX23" s="32">
        <v>208666</v>
      </c>
    </row>
    <row r="24" spans="1:50" ht="13.8">
      <c r="A24" s="30" t="s">
        <v>9</v>
      </c>
      <c r="B24" s="30" t="s">
        <v>86</v>
      </c>
      <c r="C24" s="32">
        <v>0</v>
      </c>
      <c r="D24" s="32">
        <v>0</v>
      </c>
      <c r="E24" s="32">
        <v>0</v>
      </c>
      <c r="F24" s="32">
        <v>97481</v>
      </c>
      <c r="G24" s="32">
        <v>0</v>
      </c>
      <c r="H24" s="32">
        <v>0</v>
      </c>
      <c r="I24" s="32">
        <v>0</v>
      </c>
      <c r="J24" s="33" t="s">
        <v>89</v>
      </c>
      <c r="K24" s="33" t="s">
        <v>89</v>
      </c>
      <c r="L24" s="32">
        <v>0</v>
      </c>
      <c r="M24" s="32">
        <v>0</v>
      </c>
      <c r="N24" s="32">
        <v>0</v>
      </c>
      <c r="O24" s="32">
        <v>0</v>
      </c>
      <c r="P24" s="32">
        <v>0</v>
      </c>
      <c r="Q24" s="32">
        <v>0</v>
      </c>
      <c r="R24" s="32">
        <v>0</v>
      </c>
      <c r="S24" s="32">
        <v>0</v>
      </c>
      <c r="T24" s="32">
        <v>0</v>
      </c>
      <c r="U24" s="32">
        <v>0</v>
      </c>
      <c r="V24" s="32">
        <v>0</v>
      </c>
      <c r="W24" s="32">
        <v>0</v>
      </c>
      <c r="X24" s="32">
        <v>0</v>
      </c>
      <c r="Y24" s="32">
        <v>0</v>
      </c>
      <c r="Z24" s="32">
        <v>0</v>
      </c>
      <c r="AA24" s="32">
        <v>0</v>
      </c>
      <c r="AB24" s="32">
        <v>0</v>
      </c>
      <c r="AC24" s="32">
        <v>0</v>
      </c>
      <c r="AD24" s="32">
        <v>0</v>
      </c>
      <c r="AE24" s="32">
        <v>0</v>
      </c>
      <c r="AF24" s="32">
        <v>0</v>
      </c>
      <c r="AG24" s="32">
        <v>0</v>
      </c>
      <c r="AH24" s="32">
        <v>0</v>
      </c>
      <c r="AI24" s="32">
        <v>0</v>
      </c>
      <c r="AJ24" s="32">
        <v>0</v>
      </c>
      <c r="AK24" s="32">
        <v>0</v>
      </c>
      <c r="AL24" s="32">
        <v>0</v>
      </c>
      <c r="AM24" s="32">
        <v>0</v>
      </c>
      <c r="AN24" s="32">
        <v>0</v>
      </c>
      <c r="AO24" s="32">
        <v>0</v>
      </c>
      <c r="AP24" s="32">
        <v>0</v>
      </c>
      <c r="AQ24" s="32">
        <v>0</v>
      </c>
      <c r="AR24" s="32">
        <v>0</v>
      </c>
      <c r="AS24" s="32">
        <v>0</v>
      </c>
      <c r="AT24" s="32">
        <v>0</v>
      </c>
      <c r="AU24" s="32">
        <v>0</v>
      </c>
      <c r="AV24" s="32">
        <v>0</v>
      </c>
      <c r="AW24" s="63">
        <v>0</v>
      </c>
      <c r="AX24" s="32">
        <v>97481</v>
      </c>
    </row>
    <row r="25" spans="1:50" ht="13.8">
      <c r="A25" s="30" t="s">
        <v>16</v>
      </c>
      <c r="B25" s="30" t="s">
        <v>86</v>
      </c>
      <c r="C25" s="32">
        <v>0</v>
      </c>
      <c r="D25" s="32">
        <v>0</v>
      </c>
      <c r="E25" s="32">
        <v>0</v>
      </c>
      <c r="F25" s="32">
        <v>0</v>
      </c>
      <c r="G25" s="32">
        <v>0</v>
      </c>
      <c r="H25" s="32">
        <v>0</v>
      </c>
      <c r="I25" s="32">
        <v>0</v>
      </c>
      <c r="J25" s="32">
        <v>0</v>
      </c>
      <c r="K25" s="32">
        <v>0</v>
      </c>
      <c r="L25" s="32">
        <v>0</v>
      </c>
      <c r="M25" s="32">
        <v>0</v>
      </c>
      <c r="N25" s="32">
        <v>0</v>
      </c>
      <c r="O25" s="32">
        <v>0</v>
      </c>
      <c r="P25" s="32">
        <v>0</v>
      </c>
      <c r="Q25" s="32">
        <v>0</v>
      </c>
      <c r="R25" s="32">
        <v>0</v>
      </c>
      <c r="S25" s="33" t="s">
        <v>89</v>
      </c>
      <c r="T25" s="33" t="s">
        <v>89</v>
      </c>
      <c r="U25" s="32">
        <v>0</v>
      </c>
      <c r="V25" s="32">
        <v>0</v>
      </c>
      <c r="W25" s="32">
        <v>0</v>
      </c>
      <c r="X25" s="32">
        <v>0</v>
      </c>
      <c r="Y25" s="32">
        <v>0</v>
      </c>
      <c r="Z25" s="63">
        <v>0</v>
      </c>
      <c r="AA25" s="32">
        <v>0</v>
      </c>
      <c r="AB25" s="32">
        <v>135512</v>
      </c>
      <c r="AC25" s="32">
        <v>0</v>
      </c>
      <c r="AD25" s="32">
        <v>14856</v>
      </c>
      <c r="AE25" s="32">
        <v>51245922</v>
      </c>
      <c r="AF25" s="32">
        <v>41790</v>
      </c>
      <c r="AG25" s="32">
        <v>0</v>
      </c>
      <c r="AH25" s="32">
        <v>0</v>
      </c>
      <c r="AI25" s="32">
        <v>9669</v>
      </c>
      <c r="AJ25" s="32">
        <v>17212606</v>
      </c>
      <c r="AK25" s="32">
        <v>0</v>
      </c>
      <c r="AL25" s="32">
        <v>76945277</v>
      </c>
      <c r="AM25" s="32">
        <v>0</v>
      </c>
      <c r="AN25" s="32">
        <v>0</v>
      </c>
      <c r="AO25" s="32">
        <v>0</v>
      </c>
      <c r="AP25" s="32">
        <v>0</v>
      </c>
      <c r="AQ25" s="32">
        <v>0</v>
      </c>
      <c r="AR25" s="32">
        <v>0</v>
      </c>
      <c r="AS25" s="32">
        <v>0</v>
      </c>
      <c r="AT25" s="32">
        <v>0</v>
      </c>
      <c r="AU25" s="32">
        <v>0</v>
      </c>
      <c r="AV25" s="32">
        <v>0</v>
      </c>
      <c r="AW25" s="32">
        <v>0</v>
      </c>
      <c r="AX25" s="32">
        <v>145605632</v>
      </c>
    </row>
    <row r="26" spans="1:50" ht="13.8">
      <c r="A26" s="30" t="s">
        <v>27</v>
      </c>
      <c r="B26" s="30" t="s">
        <v>86</v>
      </c>
      <c r="C26" s="32">
        <v>0</v>
      </c>
      <c r="D26" s="32">
        <v>0</v>
      </c>
      <c r="E26" s="32">
        <v>0</v>
      </c>
      <c r="F26" s="32">
        <v>0</v>
      </c>
      <c r="G26" s="32">
        <v>0</v>
      </c>
      <c r="H26" s="32">
        <v>0</v>
      </c>
      <c r="I26" s="32">
        <v>0</v>
      </c>
      <c r="J26" s="32">
        <v>0</v>
      </c>
      <c r="K26" s="32">
        <v>0</v>
      </c>
      <c r="L26" s="32">
        <v>0</v>
      </c>
      <c r="M26" s="32">
        <v>0</v>
      </c>
      <c r="N26" s="32">
        <v>0</v>
      </c>
      <c r="O26" s="32">
        <v>0</v>
      </c>
      <c r="P26" s="32">
        <v>0</v>
      </c>
      <c r="Q26" s="32">
        <v>0</v>
      </c>
      <c r="R26" s="32">
        <v>0</v>
      </c>
      <c r="S26" s="32">
        <v>0</v>
      </c>
      <c r="T26" s="32">
        <v>0</v>
      </c>
      <c r="U26" s="32">
        <v>0</v>
      </c>
      <c r="V26" s="32">
        <v>0</v>
      </c>
      <c r="W26" s="32">
        <v>0</v>
      </c>
      <c r="X26" s="32">
        <v>0</v>
      </c>
      <c r="Y26" s="32">
        <v>0</v>
      </c>
      <c r="Z26" s="32">
        <v>0</v>
      </c>
      <c r="AA26" s="32">
        <v>0</v>
      </c>
      <c r="AB26" s="32">
        <v>0</v>
      </c>
      <c r="AC26" s="32">
        <v>0</v>
      </c>
      <c r="AD26" s="32">
        <v>0</v>
      </c>
      <c r="AE26" s="32">
        <v>0</v>
      </c>
      <c r="AF26" s="32">
        <v>0</v>
      </c>
      <c r="AG26" s="32">
        <v>0</v>
      </c>
      <c r="AH26" s="32">
        <v>0</v>
      </c>
      <c r="AI26" s="32">
        <v>0</v>
      </c>
      <c r="AJ26" s="32">
        <v>0</v>
      </c>
      <c r="AK26" s="32">
        <v>0</v>
      </c>
      <c r="AL26" s="32">
        <v>0</v>
      </c>
      <c r="AM26" s="32">
        <v>0</v>
      </c>
      <c r="AN26" s="32">
        <v>0</v>
      </c>
      <c r="AO26" s="32">
        <v>0</v>
      </c>
      <c r="AP26" s="32">
        <v>0</v>
      </c>
      <c r="AQ26" s="32">
        <v>0</v>
      </c>
      <c r="AR26" s="32">
        <v>0</v>
      </c>
      <c r="AS26" s="32">
        <v>0</v>
      </c>
      <c r="AT26" s="32">
        <v>0</v>
      </c>
      <c r="AU26" s="32">
        <v>874000</v>
      </c>
      <c r="AV26" s="33" t="s">
        <v>89</v>
      </c>
      <c r="AW26" s="33" t="s">
        <v>89</v>
      </c>
      <c r="AX26" s="32">
        <v>874000</v>
      </c>
    </row>
    <row r="27" spans="1:50" ht="13.8">
      <c r="A27" s="30" t="s">
        <v>28</v>
      </c>
      <c r="B27" s="30" t="s">
        <v>86</v>
      </c>
      <c r="C27" s="32">
        <v>0</v>
      </c>
      <c r="D27" s="32">
        <v>0</v>
      </c>
      <c r="E27" s="32">
        <v>0</v>
      </c>
      <c r="F27" s="32">
        <v>0</v>
      </c>
      <c r="G27" s="32">
        <v>0</v>
      </c>
      <c r="H27" s="32">
        <v>0</v>
      </c>
      <c r="I27" s="32">
        <v>0</v>
      </c>
      <c r="J27" s="32">
        <v>0</v>
      </c>
      <c r="K27" s="32">
        <v>0</v>
      </c>
      <c r="L27" s="32">
        <v>125940</v>
      </c>
      <c r="M27" s="32">
        <v>0</v>
      </c>
      <c r="N27" s="32">
        <v>0</v>
      </c>
      <c r="O27" s="32">
        <v>0</v>
      </c>
      <c r="P27" s="32">
        <v>0</v>
      </c>
      <c r="Q27" s="32">
        <v>0</v>
      </c>
      <c r="R27" s="32">
        <v>0</v>
      </c>
      <c r="S27" s="32">
        <v>0</v>
      </c>
      <c r="T27" s="32">
        <v>681623</v>
      </c>
      <c r="U27" s="32">
        <v>0</v>
      </c>
      <c r="V27" s="32">
        <v>0</v>
      </c>
      <c r="W27" s="32">
        <v>0</v>
      </c>
      <c r="X27" s="32">
        <v>0</v>
      </c>
      <c r="Y27" s="32">
        <v>0</v>
      </c>
      <c r="Z27" s="32">
        <v>0</v>
      </c>
      <c r="AA27" s="32">
        <v>0</v>
      </c>
      <c r="AB27" s="32">
        <v>0</v>
      </c>
      <c r="AC27" s="33" t="s">
        <v>89</v>
      </c>
      <c r="AD27" s="33" t="s">
        <v>89</v>
      </c>
      <c r="AE27" s="32">
        <v>0</v>
      </c>
      <c r="AF27" s="32">
        <v>0</v>
      </c>
      <c r="AG27" s="32">
        <v>0</v>
      </c>
      <c r="AH27" s="32">
        <v>0</v>
      </c>
      <c r="AI27" s="32">
        <v>0</v>
      </c>
      <c r="AJ27" s="32">
        <v>0</v>
      </c>
      <c r="AK27" s="32">
        <v>0</v>
      </c>
      <c r="AL27" s="32">
        <v>192872709</v>
      </c>
      <c r="AM27" s="32">
        <v>0</v>
      </c>
      <c r="AN27" s="32">
        <v>0</v>
      </c>
      <c r="AO27" s="32">
        <v>0</v>
      </c>
      <c r="AP27" s="32">
        <v>0</v>
      </c>
      <c r="AQ27" s="32">
        <v>0</v>
      </c>
      <c r="AR27" s="32">
        <v>0</v>
      </c>
      <c r="AS27" s="32">
        <v>0</v>
      </c>
      <c r="AT27" s="32">
        <v>0</v>
      </c>
      <c r="AU27" s="32">
        <v>0</v>
      </c>
      <c r="AV27" s="32">
        <v>0</v>
      </c>
      <c r="AW27" s="32">
        <v>0</v>
      </c>
      <c r="AX27" s="32">
        <v>193680272</v>
      </c>
    </row>
    <row r="28" spans="1:50" ht="13.8">
      <c r="A28" s="30" t="s">
        <v>30</v>
      </c>
      <c r="B28" s="30" t="s">
        <v>86</v>
      </c>
      <c r="C28" s="63">
        <v>0</v>
      </c>
      <c r="D28" s="32">
        <v>0</v>
      </c>
      <c r="E28" s="32">
        <v>0</v>
      </c>
      <c r="F28" s="32">
        <v>0</v>
      </c>
      <c r="G28" s="32">
        <v>0</v>
      </c>
      <c r="H28" s="32">
        <v>0</v>
      </c>
      <c r="I28" s="32">
        <v>0</v>
      </c>
      <c r="J28" s="32">
        <v>0</v>
      </c>
      <c r="K28" s="32">
        <v>0</v>
      </c>
      <c r="L28" s="32">
        <v>0</v>
      </c>
      <c r="M28" s="32">
        <v>0</v>
      </c>
      <c r="N28" s="32">
        <v>0</v>
      </c>
      <c r="O28" s="32">
        <v>0</v>
      </c>
      <c r="P28" s="32">
        <v>2608739</v>
      </c>
      <c r="Q28" s="32">
        <v>484830</v>
      </c>
      <c r="R28" s="32">
        <v>0</v>
      </c>
      <c r="S28" s="63">
        <v>0</v>
      </c>
      <c r="T28" s="63">
        <v>0</v>
      </c>
      <c r="U28" s="32">
        <v>7972</v>
      </c>
      <c r="V28" s="63">
        <v>0</v>
      </c>
      <c r="W28" s="32">
        <v>2800</v>
      </c>
      <c r="X28" s="32">
        <v>20561150</v>
      </c>
      <c r="Y28" s="32">
        <v>0</v>
      </c>
      <c r="Z28" s="32">
        <v>2025502</v>
      </c>
      <c r="AA28" s="32">
        <v>0</v>
      </c>
      <c r="AB28" s="32">
        <v>0</v>
      </c>
      <c r="AC28" s="32">
        <v>441304</v>
      </c>
      <c r="AD28" s="32">
        <v>0</v>
      </c>
      <c r="AE28" s="33" t="s">
        <v>89</v>
      </c>
      <c r="AF28" s="33" t="s">
        <v>89</v>
      </c>
      <c r="AG28" s="63">
        <v>0</v>
      </c>
      <c r="AH28" s="63">
        <v>0</v>
      </c>
      <c r="AI28" s="63">
        <v>0</v>
      </c>
      <c r="AJ28" s="32">
        <v>0</v>
      </c>
      <c r="AK28" s="32">
        <v>0</v>
      </c>
      <c r="AL28" s="32">
        <v>0</v>
      </c>
      <c r="AM28" s="32">
        <v>0</v>
      </c>
      <c r="AN28" s="32">
        <v>0</v>
      </c>
      <c r="AO28" s="32">
        <v>0</v>
      </c>
      <c r="AP28" s="32">
        <v>0</v>
      </c>
      <c r="AQ28" s="32">
        <v>0</v>
      </c>
      <c r="AR28" s="32">
        <v>0</v>
      </c>
      <c r="AS28" s="32">
        <v>0</v>
      </c>
      <c r="AT28" s="32">
        <v>0</v>
      </c>
      <c r="AU28" s="32">
        <v>0</v>
      </c>
      <c r="AV28" s="32">
        <v>0</v>
      </c>
      <c r="AW28" s="32">
        <v>0</v>
      </c>
      <c r="AX28" s="32">
        <v>26132297</v>
      </c>
    </row>
    <row r="29" spans="1:50" ht="13.8">
      <c r="A29" s="30" t="s">
        <v>31</v>
      </c>
      <c r="B29" s="30" t="s">
        <v>86</v>
      </c>
      <c r="C29" s="32">
        <v>0</v>
      </c>
      <c r="D29" s="32">
        <v>0</v>
      </c>
      <c r="E29" s="32">
        <v>0</v>
      </c>
      <c r="F29" s="32">
        <v>0</v>
      </c>
      <c r="G29" s="32">
        <v>0</v>
      </c>
      <c r="H29" s="32">
        <v>0</v>
      </c>
      <c r="I29" s="32">
        <v>0</v>
      </c>
      <c r="J29" s="32">
        <v>0</v>
      </c>
      <c r="K29" s="32">
        <v>0</v>
      </c>
      <c r="L29" s="32">
        <v>0</v>
      </c>
      <c r="M29" s="32">
        <v>0</v>
      </c>
      <c r="N29" s="32">
        <v>0</v>
      </c>
      <c r="O29" s="32">
        <v>0</v>
      </c>
      <c r="P29" s="32">
        <v>0</v>
      </c>
      <c r="Q29" s="32">
        <v>0</v>
      </c>
      <c r="R29" s="32">
        <v>0</v>
      </c>
      <c r="S29" s="32">
        <v>0</v>
      </c>
      <c r="T29" s="32">
        <v>0</v>
      </c>
      <c r="U29" s="32">
        <v>0</v>
      </c>
      <c r="V29" s="32">
        <v>0</v>
      </c>
      <c r="W29" s="32">
        <v>0</v>
      </c>
      <c r="X29" s="32">
        <v>0</v>
      </c>
      <c r="Y29" s="32">
        <v>0</v>
      </c>
      <c r="Z29" s="32">
        <v>0</v>
      </c>
      <c r="AA29" s="32">
        <v>0</v>
      </c>
      <c r="AB29" s="32">
        <v>0</v>
      </c>
      <c r="AC29" s="32">
        <v>0</v>
      </c>
      <c r="AD29" s="32">
        <v>0</v>
      </c>
      <c r="AE29" s="32">
        <v>221445</v>
      </c>
      <c r="AF29" s="32">
        <v>310354</v>
      </c>
      <c r="AG29" s="33" t="s">
        <v>89</v>
      </c>
      <c r="AH29" s="33" t="s">
        <v>89</v>
      </c>
      <c r="AI29" s="32">
        <v>0</v>
      </c>
      <c r="AJ29" s="32">
        <v>0</v>
      </c>
      <c r="AK29" s="32">
        <v>0</v>
      </c>
      <c r="AL29" s="32">
        <v>0</v>
      </c>
      <c r="AM29" s="32">
        <v>0</v>
      </c>
      <c r="AN29" s="32">
        <v>0</v>
      </c>
      <c r="AO29" s="32">
        <v>0</v>
      </c>
      <c r="AP29" s="32">
        <v>0</v>
      </c>
      <c r="AQ29" s="32">
        <v>0</v>
      </c>
      <c r="AR29" s="32">
        <v>0</v>
      </c>
      <c r="AS29" s="32">
        <v>0</v>
      </c>
      <c r="AT29" s="32">
        <v>0</v>
      </c>
      <c r="AU29" s="32">
        <v>0</v>
      </c>
      <c r="AV29" s="32">
        <v>0</v>
      </c>
      <c r="AW29" s="32">
        <v>0</v>
      </c>
      <c r="AX29" s="32">
        <v>531799</v>
      </c>
    </row>
    <row r="30" spans="1:50" ht="13.8">
      <c r="A30" s="30" t="s">
        <v>14</v>
      </c>
      <c r="B30" s="30" t="s">
        <v>86</v>
      </c>
      <c r="C30" s="32">
        <v>0</v>
      </c>
      <c r="D30" s="32">
        <v>0</v>
      </c>
      <c r="E30" s="32">
        <v>0</v>
      </c>
      <c r="F30" s="32">
        <v>0</v>
      </c>
      <c r="G30" s="32">
        <v>0</v>
      </c>
      <c r="H30" s="32">
        <v>0</v>
      </c>
      <c r="I30" s="32">
        <v>0</v>
      </c>
      <c r="J30" s="32">
        <v>0</v>
      </c>
      <c r="K30" s="32">
        <v>0</v>
      </c>
      <c r="L30" s="32">
        <v>0</v>
      </c>
      <c r="M30" s="32">
        <v>0</v>
      </c>
      <c r="N30" s="32">
        <v>0</v>
      </c>
      <c r="O30" s="32">
        <v>0</v>
      </c>
      <c r="P30" s="33" t="s">
        <v>89</v>
      </c>
      <c r="Q30" s="33" t="s">
        <v>89</v>
      </c>
      <c r="R30" s="32">
        <v>0</v>
      </c>
      <c r="S30" s="32">
        <v>0</v>
      </c>
      <c r="T30" s="32">
        <v>0</v>
      </c>
      <c r="U30" s="32">
        <v>0</v>
      </c>
      <c r="V30" s="32">
        <v>83375</v>
      </c>
      <c r="W30" s="32">
        <v>0</v>
      </c>
      <c r="X30" s="63">
        <v>0</v>
      </c>
      <c r="Y30" s="32">
        <v>0</v>
      </c>
      <c r="Z30" s="32">
        <v>0</v>
      </c>
      <c r="AA30" s="32">
        <v>0</v>
      </c>
      <c r="AB30" s="32">
        <v>2488119</v>
      </c>
      <c r="AC30" s="32">
        <v>0</v>
      </c>
      <c r="AD30" s="32">
        <v>549135</v>
      </c>
      <c r="AE30" s="63">
        <v>0</v>
      </c>
      <c r="AF30" s="32">
        <v>328489</v>
      </c>
      <c r="AG30" s="32">
        <v>0</v>
      </c>
      <c r="AH30" s="32">
        <v>0</v>
      </c>
      <c r="AI30" s="32">
        <v>686878</v>
      </c>
      <c r="AJ30" s="32">
        <v>0</v>
      </c>
      <c r="AK30" s="32">
        <v>0</v>
      </c>
      <c r="AL30" s="32">
        <v>0</v>
      </c>
      <c r="AM30" s="32">
        <v>0</v>
      </c>
      <c r="AN30" s="32">
        <v>0</v>
      </c>
      <c r="AO30" s="32">
        <v>0</v>
      </c>
      <c r="AP30" s="32">
        <v>0</v>
      </c>
      <c r="AQ30" s="32">
        <v>0</v>
      </c>
      <c r="AR30" s="32">
        <v>0</v>
      </c>
      <c r="AS30" s="32">
        <v>0</v>
      </c>
      <c r="AT30" s="32">
        <v>0</v>
      </c>
      <c r="AU30" s="32">
        <v>0</v>
      </c>
      <c r="AV30" s="32">
        <v>0</v>
      </c>
      <c r="AW30" s="32">
        <v>0</v>
      </c>
      <c r="AX30" s="32">
        <v>4135996</v>
      </c>
    </row>
    <row r="31" spans="1:50" ht="13.8">
      <c r="A31" s="30" t="s">
        <v>17</v>
      </c>
      <c r="B31" s="30" t="s">
        <v>86</v>
      </c>
      <c r="C31" s="32">
        <v>0</v>
      </c>
      <c r="D31" s="32">
        <v>0</v>
      </c>
      <c r="E31" s="32">
        <v>0</v>
      </c>
      <c r="F31" s="32">
        <v>0</v>
      </c>
      <c r="G31" s="32">
        <v>0</v>
      </c>
      <c r="H31" s="32">
        <v>0</v>
      </c>
      <c r="I31" s="32">
        <v>0</v>
      </c>
      <c r="J31" s="32">
        <v>0</v>
      </c>
      <c r="K31" s="32">
        <v>0</v>
      </c>
      <c r="L31" s="32">
        <v>0</v>
      </c>
      <c r="M31" s="32">
        <v>0</v>
      </c>
      <c r="N31" s="32">
        <v>0</v>
      </c>
      <c r="O31" s="32">
        <v>0</v>
      </c>
      <c r="P31" s="32">
        <v>0</v>
      </c>
      <c r="Q31" s="32">
        <v>0</v>
      </c>
      <c r="R31" s="32">
        <v>0</v>
      </c>
      <c r="S31" s="32">
        <v>0</v>
      </c>
      <c r="T31" s="32">
        <v>0</v>
      </c>
      <c r="U31" s="33" t="s">
        <v>89</v>
      </c>
      <c r="V31" s="33" t="s">
        <v>89</v>
      </c>
      <c r="W31" s="32">
        <v>0</v>
      </c>
      <c r="X31" s="32">
        <v>11843889</v>
      </c>
      <c r="Y31" s="32">
        <v>0</v>
      </c>
      <c r="Z31" s="32">
        <v>0</v>
      </c>
      <c r="AA31" s="32">
        <v>0</v>
      </c>
      <c r="AB31" s="32">
        <v>0</v>
      </c>
      <c r="AC31" s="32">
        <v>0</v>
      </c>
      <c r="AD31" s="32">
        <v>0</v>
      </c>
      <c r="AE31" s="32">
        <v>0</v>
      </c>
      <c r="AF31" s="32">
        <v>0</v>
      </c>
      <c r="AG31" s="32">
        <v>0</v>
      </c>
      <c r="AH31" s="32">
        <v>0</v>
      </c>
      <c r="AI31" s="32">
        <v>0</v>
      </c>
      <c r="AJ31" s="32">
        <v>0</v>
      </c>
      <c r="AK31" s="32">
        <v>0</v>
      </c>
      <c r="AL31" s="32">
        <v>0</v>
      </c>
      <c r="AM31" s="32">
        <v>0</v>
      </c>
      <c r="AN31" s="32">
        <v>0</v>
      </c>
      <c r="AO31" s="32">
        <v>0</v>
      </c>
      <c r="AP31" s="32">
        <v>0</v>
      </c>
      <c r="AQ31" s="32">
        <v>0</v>
      </c>
      <c r="AR31" s="32">
        <v>0</v>
      </c>
      <c r="AS31" s="32">
        <v>0</v>
      </c>
      <c r="AT31" s="32">
        <v>0</v>
      </c>
      <c r="AU31" s="32">
        <v>0</v>
      </c>
      <c r="AV31" s="32">
        <v>0</v>
      </c>
      <c r="AW31" s="32">
        <v>0</v>
      </c>
      <c r="AX31" s="32">
        <v>11843889</v>
      </c>
    </row>
    <row r="32" spans="1:50" ht="13.8">
      <c r="A32" s="30" t="s">
        <v>18</v>
      </c>
      <c r="B32" s="30" t="s">
        <v>86</v>
      </c>
      <c r="C32" s="32">
        <v>0</v>
      </c>
      <c r="D32" s="32">
        <v>0</v>
      </c>
      <c r="E32" s="32">
        <v>0</v>
      </c>
      <c r="F32" s="32">
        <v>0</v>
      </c>
      <c r="G32" s="32">
        <v>0</v>
      </c>
      <c r="H32" s="32">
        <v>0</v>
      </c>
      <c r="I32" s="32">
        <v>0</v>
      </c>
      <c r="J32" s="32">
        <v>0</v>
      </c>
      <c r="K32" s="32">
        <v>0</v>
      </c>
      <c r="L32" s="32">
        <v>0</v>
      </c>
      <c r="M32" s="32">
        <v>0</v>
      </c>
      <c r="N32" s="32">
        <v>0</v>
      </c>
      <c r="O32" s="32">
        <v>0</v>
      </c>
      <c r="P32" s="32">
        <v>0</v>
      </c>
      <c r="Q32" s="32">
        <v>0</v>
      </c>
      <c r="R32" s="32">
        <v>0</v>
      </c>
      <c r="S32" s="32">
        <v>0</v>
      </c>
      <c r="T32" s="32">
        <v>0</v>
      </c>
      <c r="U32" s="32">
        <v>0</v>
      </c>
      <c r="V32" s="32">
        <v>0</v>
      </c>
      <c r="W32" s="33" t="s">
        <v>89</v>
      </c>
      <c r="X32" s="33" t="s">
        <v>89</v>
      </c>
      <c r="Y32" s="32">
        <v>0</v>
      </c>
      <c r="Z32" s="32">
        <v>0</v>
      </c>
      <c r="AA32" s="32">
        <v>0</v>
      </c>
      <c r="AB32" s="32">
        <v>0</v>
      </c>
      <c r="AC32" s="32">
        <v>0</v>
      </c>
      <c r="AD32" s="32">
        <v>0</v>
      </c>
      <c r="AE32" s="32">
        <v>0</v>
      </c>
      <c r="AF32" s="32">
        <v>42341</v>
      </c>
      <c r="AG32" s="32">
        <v>0</v>
      </c>
      <c r="AH32" s="32">
        <v>0</v>
      </c>
      <c r="AI32" s="32">
        <v>0</v>
      </c>
      <c r="AJ32" s="32">
        <v>0</v>
      </c>
      <c r="AK32" s="32">
        <v>0</v>
      </c>
      <c r="AL32" s="32">
        <v>0</v>
      </c>
      <c r="AM32" s="32">
        <v>0</v>
      </c>
      <c r="AN32" s="32">
        <v>0</v>
      </c>
      <c r="AO32" s="32">
        <v>0</v>
      </c>
      <c r="AP32" s="32">
        <v>0</v>
      </c>
      <c r="AQ32" s="32">
        <v>0</v>
      </c>
      <c r="AR32" s="32">
        <v>0</v>
      </c>
      <c r="AS32" s="32">
        <v>0</v>
      </c>
      <c r="AT32" s="32">
        <v>0</v>
      </c>
      <c r="AU32" s="32">
        <v>0</v>
      </c>
      <c r="AV32" s="32">
        <v>0</v>
      </c>
      <c r="AW32" s="32">
        <v>0</v>
      </c>
      <c r="AX32" s="32">
        <v>42341</v>
      </c>
    </row>
    <row r="33" spans="1:50" ht="13.8">
      <c r="A33" s="30" t="s">
        <v>36</v>
      </c>
      <c r="B33" s="30" t="s">
        <v>86</v>
      </c>
      <c r="C33" s="32">
        <v>257199716</v>
      </c>
      <c r="D33" s="32">
        <v>0</v>
      </c>
      <c r="E33" s="32">
        <v>0</v>
      </c>
      <c r="F33" s="32">
        <v>0</v>
      </c>
      <c r="G33" s="32">
        <v>8951</v>
      </c>
      <c r="H33" s="32">
        <v>0</v>
      </c>
      <c r="I33" s="32">
        <v>0</v>
      </c>
      <c r="J33" s="32">
        <v>0</v>
      </c>
      <c r="K33" s="32">
        <v>0</v>
      </c>
      <c r="L33" s="32">
        <v>0</v>
      </c>
      <c r="M33" s="32">
        <v>0</v>
      </c>
      <c r="N33" s="32">
        <v>0</v>
      </c>
      <c r="O33" s="32">
        <v>0</v>
      </c>
      <c r="P33" s="32">
        <v>0</v>
      </c>
      <c r="Q33" s="32">
        <v>0</v>
      </c>
      <c r="R33" s="32">
        <v>1885</v>
      </c>
      <c r="S33" s="32">
        <v>0</v>
      </c>
      <c r="T33" s="32">
        <v>0</v>
      </c>
      <c r="U33" s="32">
        <v>0</v>
      </c>
      <c r="V33" s="32">
        <v>0</v>
      </c>
      <c r="W33" s="32">
        <v>0</v>
      </c>
      <c r="X33" s="32">
        <v>0</v>
      </c>
      <c r="Y33" s="32">
        <v>0</v>
      </c>
      <c r="Z33" s="32">
        <v>0</v>
      </c>
      <c r="AA33" s="32">
        <v>0</v>
      </c>
      <c r="AB33" s="32">
        <v>0</v>
      </c>
      <c r="AC33" s="32">
        <v>0</v>
      </c>
      <c r="AD33" s="32">
        <v>0</v>
      </c>
      <c r="AE33" s="32">
        <v>0</v>
      </c>
      <c r="AF33" s="32">
        <v>0</v>
      </c>
      <c r="AG33" s="32">
        <v>0</v>
      </c>
      <c r="AH33" s="32">
        <v>0</v>
      </c>
      <c r="AI33" s="32">
        <v>0</v>
      </c>
      <c r="AJ33" s="32">
        <v>0</v>
      </c>
      <c r="AK33" s="32">
        <v>0</v>
      </c>
      <c r="AL33" s="33" t="s">
        <v>89</v>
      </c>
      <c r="AM33" s="33" t="s">
        <v>89</v>
      </c>
      <c r="AN33" s="33" t="s">
        <v>89</v>
      </c>
      <c r="AO33" s="32">
        <v>0</v>
      </c>
      <c r="AP33" s="32">
        <v>0</v>
      </c>
      <c r="AQ33" s="32">
        <v>0</v>
      </c>
      <c r="AR33" s="32">
        <v>0</v>
      </c>
      <c r="AS33" s="32">
        <v>0</v>
      </c>
      <c r="AT33" s="32">
        <v>0</v>
      </c>
      <c r="AU33" s="32">
        <v>0</v>
      </c>
      <c r="AV33" s="32">
        <v>0</v>
      </c>
      <c r="AW33" s="32">
        <v>0</v>
      </c>
      <c r="AX33" s="32">
        <v>257210552</v>
      </c>
    </row>
    <row r="34" spans="1:50" ht="13.8">
      <c r="A34" s="30" t="s">
        <v>37</v>
      </c>
      <c r="B34" s="30" t="s">
        <v>86</v>
      </c>
      <c r="C34" s="32">
        <v>1</v>
      </c>
      <c r="D34" s="32">
        <v>0</v>
      </c>
      <c r="E34" s="32">
        <v>0</v>
      </c>
      <c r="F34" s="32">
        <v>0</v>
      </c>
      <c r="G34" s="32">
        <v>0</v>
      </c>
      <c r="H34" s="32">
        <v>0</v>
      </c>
      <c r="I34" s="32">
        <v>0</v>
      </c>
      <c r="J34" s="32">
        <v>0</v>
      </c>
      <c r="K34" s="32">
        <v>0</v>
      </c>
      <c r="L34" s="32">
        <v>0</v>
      </c>
      <c r="M34" s="32">
        <v>0</v>
      </c>
      <c r="N34" s="32">
        <v>0</v>
      </c>
      <c r="O34" s="32">
        <v>0</v>
      </c>
      <c r="P34" s="32">
        <v>0</v>
      </c>
      <c r="Q34" s="32">
        <v>0</v>
      </c>
      <c r="R34" s="32">
        <v>0</v>
      </c>
      <c r="S34" s="32">
        <v>0</v>
      </c>
      <c r="T34" s="32">
        <v>0</v>
      </c>
      <c r="U34" s="32">
        <v>0</v>
      </c>
      <c r="V34" s="32">
        <v>0</v>
      </c>
      <c r="W34" s="32">
        <v>0</v>
      </c>
      <c r="X34" s="32">
        <v>0</v>
      </c>
      <c r="Y34" s="32">
        <v>0</v>
      </c>
      <c r="Z34" s="32">
        <v>0</v>
      </c>
      <c r="AA34" s="32">
        <v>0</v>
      </c>
      <c r="AB34" s="32">
        <v>0</v>
      </c>
      <c r="AC34" s="32">
        <v>0</v>
      </c>
      <c r="AD34" s="32">
        <v>0</v>
      </c>
      <c r="AE34" s="32">
        <v>0</v>
      </c>
      <c r="AF34" s="32">
        <v>0</v>
      </c>
      <c r="AG34" s="32">
        <v>0</v>
      </c>
      <c r="AH34" s="32">
        <v>0</v>
      </c>
      <c r="AI34" s="32">
        <v>0</v>
      </c>
      <c r="AJ34" s="32">
        <v>0</v>
      </c>
      <c r="AK34" s="32">
        <v>0</v>
      </c>
      <c r="AL34" s="32">
        <v>0</v>
      </c>
      <c r="AM34" s="32">
        <v>0</v>
      </c>
      <c r="AN34" s="32">
        <v>0</v>
      </c>
      <c r="AO34" s="33" t="s">
        <v>89</v>
      </c>
      <c r="AP34" s="33" t="s">
        <v>89</v>
      </c>
      <c r="AQ34" s="32">
        <v>0</v>
      </c>
      <c r="AR34" s="32">
        <v>0</v>
      </c>
      <c r="AS34" s="32">
        <v>0</v>
      </c>
      <c r="AT34" s="32">
        <v>0</v>
      </c>
      <c r="AU34" s="32">
        <v>0</v>
      </c>
      <c r="AV34" s="32">
        <v>0</v>
      </c>
      <c r="AW34" s="32">
        <v>0</v>
      </c>
      <c r="AX34" s="32">
        <v>1</v>
      </c>
    </row>
    <row r="35" spans="1:50" ht="13.8">
      <c r="A35" s="30" t="s">
        <v>38</v>
      </c>
      <c r="B35" s="30" t="s">
        <v>86</v>
      </c>
      <c r="C35" s="32">
        <v>0</v>
      </c>
      <c r="D35" s="32">
        <v>0</v>
      </c>
      <c r="E35" s="32">
        <v>0</v>
      </c>
      <c r="F35" s="32">
        <v>0</v>
      </c>
      <c r="G35" s="32">
        <v>0</v>
      </c>
      <c r="H35" s="32">
        <v>15649</v>
      </c>
      <c r="I35" s="32">
        <v>0</v>
      </c>
      <c r="J35" s="32">
        <v>0</v>
      </c>
      <c r="K35" s="32">
        <v>0</v>
      </c>
      <c r="L35" s="32">
        <v>0</v>
      </c>
      <c r="M35" s="32">
        <v>0</v>
      </c>
      <c r="N35" s="32">
        <v>0</v>
      </c>
      <c r="O35" s="32">
        <v>0</v>
      </c>
      <c r="P35" s="32">
        <v>0</v>
      </c>
      <c r="Q35" s="32">
        <v>0</v>
      </c>
      <c r="R35" s="32">
        <v>0</v>
      </c>
      <c r="S35" s="32">
        <v>0</v>
      </c>
      <c r="T35" s="32">
        <v>0</v>
      </c>
      <c r="U35" s="32">
        <v>0</v>
      </c>
      <c r="V35" s="32">
        <v>0</v>
      </c>
      <c r="W35" s="32">
        <v>0</v>
      </c>
      <c r="X35" s="32">
        <v>0</v>
      </c>
      <c r="Y35" s="32">
        <v>0</v>
      </c>
      <c r="Z35" s="32">
        <v>0</v>
      </c>
      <c r="AA35" s="32">
        <v>0</v>
      </c>
      <c r="AB35" s="32">
        <v>0</v>
      </c>
      <c r="AC35" s="32">
        <v>0</v>
      </c>
      <c r="AD35" s="32">
        <v>0</v>
      </c>
      <c r="AE35" s="32">
        <v>0</v>
      </c>
      <c r="AF35" s="32">
        <v>0</v>
      </c>
      <c r="AG35" s="32">
        <v>0</v>
      </c>
      <c r="AH35" s="32">
        <v>0</v>
      </c>
      <c r="AI35" s="32">
        <v>0</v>
      </c>
      <c r="AJ35" s="32">
        <v>0</v>
      </c>
      <c r="AK35" s="32">
        <v>0</v>
      </c>
      <c r="AL35" s="32">
        <v>0</v>
      </c>
      <c r="AM35" s="32">
        <v>0</v>
      </c>
      <c r="AN35" s="32">
        <v>0</v>
      </c>
      <c r="AO35" s="32">
        <v>372215</v>
      </c>
      <c r="AP35" s="32">
        <v>0</v>
      </c>
      <c r="AQ35" s="33" t="s">
        <v>89</v>
      </c>
      <c r="AR35" s="32">
        <v>0</v>
      </c>
      <c r="AS35" s="32">
        <v>0</v>
      </c>
      <c r="AT35" s="32">
        <v>0</v>
      </c>
      <c r="AU35" s="32">
        <v>0</v>
      </c>
      <c r="AV35" s="32">
        <v>0</v>
      </c>
      <c r="AW35" s="32">
        <v>0</v>
      </c>
      <c r="AX35" s="32">
        <v>387864</v>
      </c>
    </row>
    <row r="36" spans="1:50" ht="13.8">
      <c r="A36" s="30" t="s">
        <v>37</v>
      </c>
      <c r="B36" s="30" t="s">
        <v>90</v>
      </c>
      <c r="C36" s="32">
        <v>0</v>
      </c>
      <c r="D36" s="32">
        <v>0</v>
      </c>
      <c r="E36" s="32">
        <v>0</v>
      </c>
      <c r="F36" s="32">
        <v>0</v>
      </c>
      <c r="G36" s="32">
        <v>0</v>
      </c>
      <c r="H36" s="32">
        <v>0</v>
      </c>
      <c r="I36" s="32">
        <v>0</v>
      </c>
      <c r="J36" s="32">
        <v>0</v>
      </c>
      <c r="K36" s="32">
        <v>0</v>
      </c>
      <c r="L36" s="32">
        <v>0</v>
      </c>
      <c r="M36" s="32">
        <v>0</v>
      </c>
      <c r="N36" s="32">
        <v>0</v>
      </c>
      <c r="O36" s="32">
        <v>0</v>
      </c>
      <c r="P36" s="32">
        <v>0</v>
      </c>
      <c r="Q36" s="32">
        <v>0</v>
      </c>
      <c r="R36" s="32">
        <v>0</v>
      </c>
      <c r="S36" s="32">
        <v>0</v>
      </c>
      <c r="T36" s="32">
        <v>0</v>
      </c>
      <c r="U36" s="32">
        <v>0</v>
      </c>
      <c r="V36" s="32">
        <v>0</v>
      </c>
      <c r="W36" s="32">
        <v>0</v>
      </c>
      <c r="X36" s="32">
        <v>0</v>
      </c>
      <c r="Y36" s="32">
        <v>0</v>
      </c>
      <c r="Z36" s="32">
        <v>0</v>
      </c>
      <c r="AA36" s="32">
        <v>0</v>
      </c>
      <c r="AB36" s="32">
        <v>0</v>
      </c>
      <c r="AC36" s="32">
        <v>0</v>
      </c>
      <c r="AD36" s="32">
        <v>0</v>
      </c>
      <c r="AE36" s="32">
        <v>0</v>
      </c>
      <c r="AF36" s="32">
        <v>0</v>
      </c>
      <c r="AG36" s="32">
        <v>0</v>
      </c>
      <c r="AH36" s="32">
        <v>0</v>
      </c>
      <c r="AI36" s="32">
        <v>0</v>
      </c>
      <c r="AJ36" s="32">
        <v>0</v>
      </c>
      <c r="AK36" s="32">
        <v>0</v>
      </c>
      <c r="AL36" s="32">
        <v>0</v>
      </c>
      <c r="AM36" s="32">
        <v>0</v>
      </c>
      <c r="AN36" s="32">
        <v>0</v>
      </c>
      <c r="AO36" s="33" t="s">
        <v>89</v>
      </c>
      <c r="AP36" s="33" t="s">
        <v>89</v>
      </c>
      <c r="AQ36" s="32">
        <v>0</v>
      </c>
      <c r="AR36" s="32">
        <v>1200000</v>
      </c>
      <c r="AS36" s="32">
        <v>0</v>
      </c>
      <c r="AT36" s="32">
        <v>0</v>
      </c>
      <c r="AU36" s="32">
        <v>0</v>
      </c>
      <c r="AV36" s="32">
        <v>0</v>
      </c>
      <c r="AW36" s="32">
        <v>0</v>
      </c>
      <c r="AX36" s="32">
        <v>1200000</v>
      </c>
    </row>
    <row r="37" spans="1:50" ht="13.8">
      <c r="A37" s="30" t="s">
        <v>6</v>
      </c>
      <c r="B37" s="30" t="s">
        <v>91</v>
      </c>
      <c r="C37" s="32">
        <v>0</v>
      </c>
      <c r="D37" s="32">
        <v>0</v>
      </c>
      <c r="E37" s="32">
        <v>0</v>
      </c>
      <c r="F37" s="32">
        <v>0</v>
      </c>
      <c r="G37" s="32">
        <v>0</v>
      </c>
      <c r="H37" s="32">
        <v>28386</v>
      </c>
      <c r="I37" s="32">
        <v>56065</v>
      </c>
      <c r="J37" s="32">
        <v>0</v>
      </c>
      <c r="K37" s="32">
        <v>883</v>
      </c>
      <c r="L37" s="32">
        <v>0</v>
      </c>
      <c r="M37" s="32">
        <v>139221</v>
      </c>
      <c r="N37" s="32">
        <v>0</v>
      </c>
      <c r="O37" s="32">
        <v>0</v>
      </c>
      <c r="P37" s="32">
        <v>0</v>
      </c>
      <c r="Q37" s="32">
        <v>0</v>
      </c>
      <c r="R37" s="32">
        <v>0</v>
      </c>
      <c r="S37" s="32">
        <v>0</v>
      </c>
      <c r="T37" s="32">
        <v>0</v>
      </c>
      <c r="U37" s="32">
        <v>0</v>
      </c>
      <c r="V37" s="32">
        <v>0</v>
      </c>
      <c r="W37" s="32">
        <v>0</v>
      </c>
      <c r="X37" s="32">
        <v>0</v>
      </c>
      <c r="Y37" s="32">
        <v>0</v>
      </c>
      <c r="Z37" s="32">
        <v>0</v>
      </c>
      <c r="AA37" s="32">
        <v>0</v>
      </c>
      <c r="AB37" s="32">
        <v>0</v>
      </c>
      <c r="AC37" s="32">
        <v>0</v>
      </c>
      <c r="AD37" s="32">
        <v>0</v>
      </c>
      <c r="AE37" s="32">
        <v>0</v>
      </c>
      <c r="AF37" s="32">
        <v>0</v>
      </c>
      <c r="AG37" s="32">
        <v>0</v>
      </c>
      <c r="AH37" s="32">
        <v>0</v>
      </c>
      <c r="AI37" s="32">
        <v>0</v>
      </c>
      <c r="AJ37" s="32">
        <v>0</v>
      </c>
      <c r="AK37" s="32">
        <v>0</v>
      </c>
      <c r="AL37" s="32">
        <v>357771292</v>
      </c>
      <c r="AM37" s="32">
        <v>0</v>
      </c>
      <c r="AN37" s="32">
        <v>8954</v>
      </c>
      <c r="AO37" s="32">
        <v>1</v>
      </c>
      <c r="AP37" s="32">
        <v>0</v>
      </c>
      <c r="AQ37" s="32">
        <v>0</v>
      </c>
      <c r="AR37" s="32">
        <v>0</v>
      </c>
      <c r="AS37" s="32">
        <v>0</v>
      </c>
      <c r="AT37" s="32">
        <v>0</v>
      </c>
      <c r="AU37" s="32">
        <v>0</v>
      </c>
      <c r="AV37" s="32">
        <v>0</v>
      </c>
      <c r="AW37" s="32">
        <v>0</v>
      </c>
      <c r="AX37" s="32">
        <v>358004802</v>
      </c>
    </row>
    <row r="38" spans="1:50" ht="13.8">
      <c r="A38" s="30" t="s">
        <v>10</v>
      </c>
      <c r="B38" s="30" t="s">
        <v>91</v>
      </c>
      <c r="C38" s="63">
        <v>0</v>
      </c>
      <c r="D38" s="32">
        <v>0</v>
      </c>
      <c r="E38" s="32">
        <v>0</v>
      </c>
      <c r="F38" s="32">
        <v>0</v>
      </c>
      <c r="G38" s="32">
        <v>0</v>
      </c>
      <c r="H38" s="32">
        <v>0</v>
      </c>
      <c r="I38" s="32">
        <v>0</v>
      </c>
      <c r="J38" s="32">
        <v>0</v>
      </c>
      <c r="K38" s="32">
        <v>0</v>
      </c>
      <c r="L38" s="33" t="s">
        <v>89</v>
      </c>
      <c r="M38" s="32">
        <v>0</v>
      </c>
      <c r="N38" s="32">
        <v>0</v>
      </c>
      <c r="O38" s="32">
        <v>0</v>
      </c>
      <c r="P38" s="32">
        <v>0</v>
      </c>
      <c r="Q38" s="32">
        <v>0</v>
      </c>
      <c r="R38" s="32">
        <v>0</v>
      </c>
      <c r="S38" s="32">
        <v>0</v>
      </c>
      <c r="T38" s="32">
        <v>0</v>
      </c>
      <c r="U38" s="32">
        <v>0</v>
      </c>
      <c r="V38" s="32">
        <v>0</v>
      </c>
      <c r="W38" s="32">
        <v>0</v>
      </c>
      <c r="X38" s="32">
        <v>0</v>
      </c>
      <c r="Y38" s="32">
        <v>0</v>
      </c>
      <c r="Z38" s="32">
        <v>0</v>
      </c>
      <c r="AA38" s="32">
        <v>0</v>
      </c>
      <c r="AB38" s="32">
        <v>0</v>
      </c>
      <c r="AC38" s="32">
        <v>426582450</v>
      </c>
      <c r="AD38" s="32">
        <v>0</v>
      </c>
      <c r="AE38" s="32">
        <v>0</v>
      </c>
      <c r="AF38" s="32">
        <v>0</v>
      </c>
      <c r="AG38" s="32">
        <v>0</v>
      </c>
      <c r="AH38" s="32">
        <v>0</v>
      </c>
      <c r="AI38" s="32">
        <v>0</v>
      </c>
      <c r="AJ38" s="32">
        <v>0</v>
      </c>
      <c r="AK38" s="32">
        <v>0</v>
      </c>
      <c r="AL38" s="32">
        <v>0</v>
      </c>
      <c r="AM38" s="32">
        <v>0</v>
      </c>
      <c r="AN38" s="32">
        <v>0</v>
      </c>
      <c r="AO38" s="32">
        <v>0</v>
      </c>
      <c r="AP38" s="32">
        <v>0</v>
      </c>
      <c r="AQ38" s="32">
        <v>0</v>
      </c>
      <c r="AR38" s="32">
        <v>0</v>
      </c>
      <c r="AS38" s="32">
        <v>0</v>
      </c>
      <c r="AT38" s="32">
        <v>0</v>
      </c>
      <c r="AU38" s="32">
        <v>0</v>
      </c>
      <c r="AV38" s="32">
        <v>0</v>
      </c>
      <c r="AW38" s="32">
        <v>0</v>
      </c>
      <c r="AX38" s="32">
        <v>426582450</v>
      </c>
    </row>
    <row r="39" spans="1:50" ht="13.8">
      <c r="A39" s="30" t="s">
        <v>13</v>
      </c>
      <c r="B39" s="30" t="s">
        <v>91</v>
      </c>
      <c r="C39" s="32">
        <v>30986</v>
      </c>
      <c r="D39" s="32">
        <v>0</v>
      </c>
      <c r="E39" s="32">
        <v>0</v>
      </c>
      <c r="F39" s="32">
        <v>0</v>
      </c>
      <c r="G39" s="63">
        <v>0</v>
      </c>
      <c r="H39" s="32">
        <v>0</v>
      </c>
      <c r="I39" s="32">
        <v>0</v>
      </c>
      <c r="J39" s="32">
        <v>0</v>
      </c>
      <c r="K39" s="32">
        <v>0</v>
      </c>
      <c r="L39" s="32">
        <v>0</v>
      </c>
      <c r="M39" s="32">
        <v>0</v>
      </c>
      <c r="N39" s="32">
        <v>0</v>
      </c>
      <c r="O39" s="33" t="s">
        <v>89</v>
      </c>
      <c r="P39" s="32">
        <v>0</v>
      </c>
      <c r="Q39" s="32">
        <v>0</v>
      </c>
      <c r="R39" s="32">
        <v>0</v>
      </c>
      <c r="S39" s="32">
        <v>0</v>
      </c>
      <c r="T39" s="32">
        <v>0</v>
      </c>
      <c r="U39" s="32">
        <v>0</v>
      </c>
      <c r="V39" s="32">
        <v>0</v>
      </c>
      <c r="W39" s="32">
        <v>0</v>
      </c>
      <c r="X39" s="32">
        <v>0</v>
      </c>
      <c r="Y39" s="32">
        <v>0</v>
      </c>
      <c r="Z39" s="32">
        <v>0</v>
      </c>
      <c r="AA39" s="32">
        <v>0</v>
      </c>
      <c r="AB39" s="32">
        <v>0</v>
      </c>
      <c r="AC39" s="32">
        <v>0</v>
      </c>
      <c r="AD39" s="32">
        <v>0</v>
      </c>
      <c r="AE39" s="32">
        <v>0</v>
      </c>
      <c r="AF39" s="32">
        <v>0</v>
      </c>
      <c r="AG39" s="32">
        <v>0</v>
      </c>
      <c r="AH39" s="32">
        <v>0</v>
      </c>
      <c r="AI39" s="32">
        <v>0</v>
      </c>
      <c r="AJ39" s="32">
        <v>0</v>
      </c>
      <c r="AK39" s="32">
        <v>0</v>
      </c>
      <c r="AL39" s="32">
        <v>0</v>
      </c>
      <c r="AM39" s="32">
        <v>0</v>
      </c>
      <c r="AN39" s="32">
        <v>0</v>
      </c>
      <c r="AO39" s="32">
        <v>0</v>
      </c>
      <c r="AP39" s="32">
        <v>0</v>
      </c>
      <c r="AQ39" s="32">
        <v>0</v>
      </c>
      <c r="AR39" s="32">
        <v>0</v>
      </c>
      <c r="AS39" s="32">
        <v>0</v>
      </c>
      <c r="AT39" s="32">
        <v>0</v>
      </c>
      <c r="AU39" s="32">
        <v>0</v>
      </c>
      <c r="AV39" s="32">
        <v>0</v>
      </c>
      <c r="AW39" s="32">
        <v>0</v>
      </c>
      <c r="AX39" s="32">
        <v>30986</v>
      </c>
    </row>
    <row r="40" spans="1:50" ht="13.8">
      <c r="A40" s="30" t="s">
        <v>15</v>
      </c>
      <c r="B40" s="30" t="s">
        <v>91</v>
      </c>
      <c r="C40" s="32">
        <v>3954</v>
      </c>
      <c r="D40" s="32">
        <v>0</v>
      </c>
      <c r="E40" s="32">
        <v>0</v>
      </c>
      <c r="F40" s="32">
        <v>0</v>
      </c>
      <c r="G40" s="32">
        <v>0</v>
      </c>
      <c r="H40" s="32">
        <v>0</v>
      </c>
      <c r="I40" s="32">
        <v>0</v>
      </c>
      <c r="J40" s="32">
        <v>0</v>
      </c>
      <c r="K40" s="32">
        <v>0</v>
      </c>
      <c r="L40" s="32">
        <v>0</v>
      </c>
      <c r="M40" s="32">
        <v>0</v>
      </c>
      <c r="N40" s="32">
        <v>0</v>
      </c>
      <c r="O40" s="32">
        <v>0</v>
      </c>
      <c r="P40" s="32">
        <v>0</v>
      </c>
      <c r="Q40" s="32">
        <v>0</v>
      </c>
      <c r="R40" s="33" t="s">
        <v>89</v>
      </c>
      <c r="S40" s="32">
        <v>0</v>
      </c>
      <c r="T40" s="32">
        <v>0</v>
      </c>
      <c r="U40" s="32">
        <v>0</v>
      </c>
      <c r="V40" s="32">
        <v>0</v>
      </c>
      <c r="W40" s="32">
        <v>0</v>
      </c>
      <c r="X40" s="32">
        <v>0</v>
      </c>
      <c r="Y40" s="32">
        <v>0</v>
      </c>
      <c r="Z40" s="32">
        <v>0</v>
      </c>
      <c r="AA40" s="32">
        <v>0</v>
      </c>
      <c r="AB40" s="32">
        <v>0</v>
      </c>
      <c r="AC40" s="32">
        <v>0</v>
      </c>
      <c r="AD40" s="32">
        <v>0</v>
      </c>
      <c r="AE40" s="32">
        <v>0</v>
      </c>
      <c r="AF40" s="32">
        <v>0</v>
      </c>
      <c r="AG40" s="32">
        <v>0</v>
      </c>
      <c r="AH40" s="32">
        <v>0</v>
      </c>
      <c r="AI40" s="32">
        <v>0</v>
      </c>
      <c r="AJ40" s="32">
        <v>0</v>
      </c>
      <c r="AK40" s="32">
        <v>0</v>
      </c>
      <c r="AL40" s="32">
        <v>1885</v>
      </c>
      <c r="AM40" s="32">
        <v>0</v>
      </c>
      <c r="AN40" s="32">
        <v>0</v>
      </c>
      <c r="AO40" s="32">
        <v>0</v>
      </c>
      <c r="AP40" s="32">
        <v>0</v>
      </c>
      <c r="AQ40" s="32">
        <v>0</v>
      </c>
      <c r="AR40" s="32">
        <v>0</v>
      </c>
      <c r="AS40" s="32">
        <v>0</v>
      </c>
      <c r="AT40" s="32">
        <v>0</v>
      </c>
      <c r="AU40" s="32">
        <v>0</v>
      </c>
      <c r="AV40" s="32">
        <v>0</v>
      </c>
      <c r="AW40" s="32">
        <v>0</v>
      </c>
      <c r="AX40" s="32">
        <v>5839</v>
      </c>
    </row>
    <row r="41" spans="1:50" ht="13.8">
      <c r="A41" s="30" t="s">
        <v>16</v>
      </c>
      <c r="B41" s="30" t="s">
        <v>91</v>
      </c>
      <c r="C41" s="32">
        <v>6111968</v>
      </c>
      <c r="D41" s="32">
        <v>0</v>
      </c>
      <c r="E41" s="32">
        <v>0</v>
      </c>
      <c r="F41" s="32">
        <v>0</v>
      </c>
      <c r="G41" s="32">
        <v>0</v>
      </c>
      <c r="H41" s="32">
        <v>39148</v>
      </c>
      <c r="I41" s="32">
        <v>0</v>
      </c>
      <c r="J41" s="32">
        <v>0</v>
      </c>
      <c r="K41" s="32">
        <v>0</v>
      </c>
      <c r="L41" s="32">
        <v>0</v>
      </c>
      <c r="M41" s="32">
        <v>0</v>
      </c>
      <c r="N41" s="32">
        <v>0</v>
      </c>
      <c r="O41" s="32">
        <v>0</v>
      </c>
      <c r="P41" s="32">
        <v>0</v>
      </c>
      <c r="Q41" s="32">
        <v>242790712</v>
      </c>
      <c r="R41" s="32">
        <v>0</v>
      </c>
      <c r="S41" s="33" t="s">
        <v>89</v>
      </c>
      <c r="T41" s="33" t="s">
        <v>89</v>
      </c>
      <c r="U41" s="32">
        <v>0</v>
      </c>
      <c r="V41" s="32">
        <v>1555994</v>
      </c>
      <c r="W41" s="32">
        <v>0</v>
      </c>
      <c r="X41" s="32">
        <v>0</v>
      </c>
      <c r="Y41" s="32">
        <v>0</v>
      </c>
      <c r="Z41" s="32">
        <v>6567</v>
      </c>
      <c r="AA41" s="32">
        <v>0</v>
      </c>
      <c r="AB41" s="32">
        <v>0</v>
      </c>
      <c r="AC41" s="32">
        <v>0</v>
      </c>
      <c r="AD41" s="32">
        <v>681623</v>
      </c>
      <c r="AE41" s="32">
        <v>0</v>
      </c>
      <c r="AF41" s="63">
        <v>0</v>
      </c>
      <c r="AG41" s="32">
        <v>0</v>
      </c>
      <c r="AH41" s="32">
        <v>0</v>
      </c>
      <c r="AI41" s="32">
        <v>0</v>
      </c>
      <c r="AJ41" s="32">
        <v>0</v>
      </c>
      <c r="AK41" s="32">
        <v>0</v>
      </c>
      <c r="AL41" s="63">
        <v>0</v>
      </c>
      <c r="AM41" s="32">
        <v>0</v>
      </c>
      <c r="AN41" s="32">
        <v>0</v>
      </c>
      <c r="AO41" s="32">
        <v>0</v>
      </c>
      <c r="AP41" s="32">
        <v>0</v>
      </c>
      <c r="AQ41" s="32">
        <v>0</v>
      </c>
      <c r="AR41" s="32">
        <v>0</v>
      </c>
      <c r="AS41" s="32">
        <v>0</v>
      </c>
      <c r="AT41" s="32">
        <v>0</v>
      </c>
      <c r="AU41" s="32">
        <v>0</v>
      </c>
      <c r="AV41" s="32">
        <v>0</v>
      </c>
      <c r="AW41" s="32">
        <v>0</v>
      </c>
      <c r="AX41" s="32">
        <v>251186012</v>
      </c>
    </row>
    <row r="42" spans="1:50" ht="13.8">
      <c r="A42" s="30" t="s">
        <v>24</v>
      </c>
      <c r="B42" s="30" t="s">
        <v>91</v>
      </c>
      <c r="C42" s="63">
        <v>0</v>
      </c>
      <c r="D42" s="32">
        <v>0</v>
      </c>
      <c r="E42" s="32">
        <v>0</v>
      </c>
      <c r="F42" s="32">
        <v>0</v>
      </c>
      <c r="G42" s="32">
        <v>0</v>
      </c>
      <c r="H42" s="32">
        <v>0</v>
      </c>
      <c r="I42" s="32">
        <v>0</v>
      </c>
      <c r="J42" s="32">
        <v>0</v>
      </c>
      <c r="K42" s="32">
        <v>0</v>
      </c>
      <c r="L42" s="32">
        <v>0</v>
      </c>
      <c r="M42" s="32">
        <v>0</v>
      </c>
      <c r="N42" s="32">
        <v>0</v>
      </c>
      <c r="O42" s="32">
        <v>0</v>
      </c>
      <c r="P42" s="32">
        <v>0</v>
      </c>
      <c r="Q42" s="32">
        <v>2488119</v>
      </c>
      <c r="R42" s="32">
        <v>0</v>
      </c>
      <c r="S42" s="32">
        <v>0</v>
      </c>
      <c r="T42" s="32">
        <v>135512</v>
      </c>
      <c r="U42" s="32">
        <v>0</v>
      </c>
      <c r="V42" s="32">
        <v>0</v>
      </c>
      <c r="W42" s="32">
        <v>0</v>
      </c>
      <c r="X42" s="32">
        <v>0</v>
      </c>
      <c r="Y42" s="32">
        <v>0</v>
      </c>
      <c r="Z42" s="32">
        <v>0</v>
      </c>
      <c r="AA42" s="33" t="s">
        <v>89</v>
      </c>
      <c r="AB42" s="33" t="s">
        <v>89</v>
      </c>
      <c r="AC42" s="32">
        <v>0</v>
      </c>
      <c r="AD42" s="32">
        <v>0</v>
      </c>
      <c r="AE42" s="32">
        <v>0</v>
      </c>
      <c r="AF42" s="32">
        <v>0</v>
      </c>
      <c r="AG42" s="32">
        <v>0</v>
      </c>
      <c r="AH42" s="32">
        <v>0</v>
      </c>
      <c r="AI42" s="32">
        <v>0</v>
      </c>
      <c r="AJ42" s="32">
        <v>0</v>
      </c>
      <c r="AK42" s="32">
        <v>0</v>
      </c>
      <c r="AL42" s="32">
        <v>0</v>
      </c>
      <c r="AM42" s="32">
        <v>0</v>
      </c>
      <c r="AN42" s="32">
        <v>0</v>
      </c>
      <c r="AO42" s="32">
        <v>7026564</v>
      </c>
      <c r="AP42" s="32">
        <v>0</v>
      </c>
      <c r="AQ42" s="32">
        <v>0</v>
      </c>
      <c r="AR42" s="32">
        <v>0</v>
      </c>
      <c r="AS42" s="32">
        <v>0</v>
      </c>
      <c r="AT42" s="32">
        <v>0</v>
      </c>
      <c r="AU42" s="32">
        <v>0</v>
      </c>
      <c r="AV42" s="32">
        <v>0</v>
      </c>
      <c r="AW42" s="32">
        <v>0</v>
      </c>
      <c r="AX42" s="32">
        <v>9650195</v>
      </c>
    </row>
    <row r="43" spans="1:50" ht="13.8">
      <c r="A43" s="30" t="s">
        <v>26</v>
      </c>
      <c r="B43" s="30" t="s">
        <v>91</v>
      </c>
      <c r="C43" s="32">
        <v>0</v>
      </c>
      <c r="D43" s="32">
        <v>0</v>
      </c>
      <c r="E43" s="32">
        <v>0</v>
      </c>
      <c r="F43" s="32">
        <v>0</v>
      </c>
      <c r="G43" s="32">
        <v>0</v>
      </c>
      <c r="H43" s="32">
        <v>0</v>
      </c>
      <c r="I43" s="32">
        <v>0</v>
      </c>
      <c r="J43" s="32">
        <v>0</v>
      </c>
      <c r="K43" s="32">
        <v>0</v>
      </c>
      <c r="L43" s="32">
        <v>0</v>
      </c>
      <c r="M43" s="32">
        <v>0</v>
      </c>
      <c r="N43" s="32">
        <v>0</v>
      </c>
      <c r="O43" s="32">
        <v>0</v>
      </c>
      <c r="P43" s="32">
        <v>0</v>
      </c>
      <c r="Q43" s="32">
        <v>0</v>
      </c>
      <c r="R43" s="32">
        <v>0</v>
      </c>
      <c r="S43" s="32">
        <v>0</v>
      </c>
      <c r="T43" s="32">
        <v>0</v>
      </c>
      <c r="U43" s="32">
        <v>0</v>
      </c>
      <c r="V43" s="32">
        <v>0</v>
      </c>
      <c r="W43" s="32">
        <v>0</v>
      </c>
      <c r="X43" s="32">
        <v>0</v>
      </c>
      <c r="Y43" s="32">
        <v>0</v>
      </c>
      <c r="Z43" s="32">
        <v>0</v>
      </c>
      <c r="AA43" s="32">
        <v>0</v>
      </c>
      <c r="AB43" s="32">
        <v>0</v>
      </c>
      <c r="AC43" s="32">
        <v>0</v>
      </c>
      <c r="AD43" s="32">
        <v>0</v>
      </c>
      <c r="AE43" s="32">
        <v>0</v>
      </c>
      <c r="AF43" s="32">
        <v>0</v>
      </c>
      <c r="AG43" s="32">
        <v>0</v>
      </c>
      <c r="AH43" s="32">
        <v>0</v>
      </c>
      <c r="AI43" s="32">
        <v>0</v>
      </c>
      <c r="AJ43" s="32">
        <v>0</v>
      </c>
      <c r="AK43" s="32">
        <v>0</v>
      </c>
      <c r="AL43" s="32">
        <v>0</v>
      </c>
      <c r="AM43" s="32">
        <v>0</v>
      </c>
      <c r="AN43" s="32">
        <v>0</v>
      </c>
      <c r="AO43" s="32">
        <v>0</v>
      </c>
      <c r="AP43" s="32">
        <v>0</v>
      </c>
      <c r="AQ43" s="32">
        <v>0</v>
      </c>
      <c r="AR43" s="32">
        <v>0</v>
      </c>
      <c r="AS43" s="32">
        <v>0</v>
      </c>
      <c r="AT43" s="33" t="s">
        <v>89</v>
      </c>
      <c r="AU43" s="33" t="s">
        <v>89</v>
      </c>
      <c r="AV43" s="32">
        <v>0</v>
      </c>
      <c r="AW43" s="32">
        <v>55665</v>
      </c>
      <c r="AX43" s="32">
        <v>55665</v>
      </c>
    </row>
    <row r="44" spans="1:50" ht="13.8">
      <c r="A44" s="30" t="s">
        <v>28</v>
      </c>
      <c r="B44" s="30" t="s">
        <v>91</v>
      </c>
      <c r="C44" s="32">
        <v>7342837</v>
      </c>
      <c r="D44" s="32">
        <v>0</v>
      </c>
      <c r="E44" s="32">
        <v>0</v>
      </c>
      <c r="F44" s="32">
        <v>0</v>
      </c>
      <c r="G44" s="32">
        <v>0</v>
      </c>
      <c r="H44" s="32">
        <v>0</v>
      </c>
      <c r="I44" s="32">
        <v>0</v>
      </c>
      <c r="J44" s="32">
        <v>0</v>
      </c>
      <c r="K44" s="32">
        <v>0</v>
      </c>
      <c r="L44" s="32">
        <v>0</v>
      </c>
      <c r="M44" s="32">
        <v>0</v>
      </c>
      <c r="N44" s="32">
        <v>0</v>
      </c>
      <c r="O44" s="32">
        <v>0</v>
      </c>
      <c r="P44" s="32">
        <v>0</v>
      </c>
      <c r="Q44" s="32">
        <v>549135</v>
      </c>
      <c r="R44" s="32">
        <v>0</v>
      </c>
      <c r="S44" s="32">
        <v>0</v>
      </c>
      <c r="T44" s="32">
        <v>35156</v>
      </c>
      <c r="U44" s="32">
        <v>0</v>
      </c>
      <c r="V44" s="32">
        <v>0</v>
      </c>
      <c r="W44" s="32">
        <v>0</v>
      </c>
      <c r="X44" s="32">
        <v>0</v>
      </c>
      <c r="Y44" s="32">
        <v>0</v>
      </c>
      <c r="Z44" s="32">
        <v>358491</v>
      </c>
      <c r="AA44" s="32">
        <v>0</v>
      </c>
      <c r="AB44" s="32">
        <v>0</v>
      </c>
      <c r="AC44" s="33" t="s">
        <v>89</v>
      </c>
      <c r="AD44" s="33" t="s">
        <v>89</v>
      </c>
      <c r="AE44" s="32">
        <v>441303</v>
      </c>
      <c r="AF44" s="32">
        <v>0</v>
      </c>
      <c r="AG44" s="32">
        <v>0</v>
      </c>
      <c r="AH44" s="32">
        <v>0</v>
      </c>
      <c r="AI44" s="32">
        <v>0</v>
      </c>
      <c r="AJ44" s="32">
        <v>0</v>
      </c>
      <c r="AK44" s="32">
        <v>0</v>
      </c>
      <c r="AL44" s="32">
        <v>0</v>
      </c>
      <c r="AM44" s="32">
        <v>0</v>
      </c>
      <c r="AN44" s="32">
        <v>0</v>
      </c>
      <c r="AO44" s="32">
        <v>0</v>
      </c>
      <c r="AP44" s="32">
        <v>0</v>
      </c>
      <c r="AQ44" s="32">
        <v>0</v>
      </c>
      <c r="AR44" s="32">
        <v>0</v>
      </c>
      <c r="AS44" s="32">
        <v>0</v>
      </c>
      <c r="AT44" s="32">
        <v>0</v>
      </c>
      <c r="AU44" s="32">
        <v>0</v>
      </c>
      <c r="AV44" s="32">
        <v>0</v>
      </c>
      <c r="AW44" s="32">
        <v>0</v>
      </c>
      <c r="AX44" s="32">
        <v>8726922</v>
      </c>
    </row>
    <row r="45" spans="1:50" ht="13.8">
      <c r="A45" s="30" t="s">
        <v>30</v>
      </c>
      <c r="B45" s="30" t="s">
        <v>91</v>
      </c>
      <c r="C45" s="63">
        <v>0</v>
      </c>
      <c r="D45" s="32">
        <v>0</v>
      </c>
      <c r="E45" s="32">
        <v>0</v>
      </c>
      <c r="F45" s="32">
        <v>0</v>
      </c>
      <c r="G45" s="32">
        <v>0</v>
      </c>
      <c r="H45" s="32">
        <v>15648</v>
      </c>
      <c r="I45" s="32">
        <v>0</v>
      </c>
      <c r="J45" s="32">
        <v>0</v>
      </c>
      <c r="K45" s="32">
        <v>0</v>
      </c>
      <c r="L45" s="32">
        <v>0</v>
      </c>
      <c r="M45" s="32">
        <v>0</v>
      </c>
      <c r="N45" s="32">
        <v>0</v>
      </c>
      <c r="O45" s="32">
        <v>0</v>
      </c>
      <c r="P45" s="63">
        <v>0</v>
      </c>
      <c r="Q45" s="32">
        <v>328489</v>
      </c>
      <c r="R45" s="32">
        <v>0</v>
      </c>
      <c r="S45" s="63">
        <v>0</v>
      </c>
      <c r="T45" s="32">
        <v>41790</v>
      </c>
      <c r="U45" s="32">
        <v>0</v>
      </c>
      <c r="V45" s="32">
        <v>0</v>
      </c>
      <c r="W45" s="32">
        <v>0</v>
      </c>
      <c r="X45" s="32">
        <v>42341</v>
      </c>
      <c r="Y45" s="63">
        <v>0</v>
      </c>
      <c r="Z45" s="32">
        <v>0</v>
      </c>
      <c r="AA45" s="32">
        <v>0</v>
      </c>
      <c r="AB45" s="32">
        <v>0</v>
      </c>
      <c r="AC45" s="32">
        <v>0</v>
      </c>
      <c r="AD45" s="32">
        <v>0</v>
      </c>
      <c r="AE45" s="33" t="s">
        <v>89</v>
      </c>
      <c r="AF45" s="33" t="s">
        <v>89</v>
      </c>
      <c r="AG45" s="32">
        <v>221444</v>
      </c>
      <c r="AH45" s="32">
        <v>310354</v>
      </c>
      <c r="AI45" s="32">
        <v>0</v>
      </c>
      <c r="AJ45" s="32">
        <v>0</v>
      </c>
      <c r="AK45" s="32">
        <v>0</v>
      </c>
      <c r="AL45" s="32">
        <v>0</v>
      </c>
      <c r="AM45" s="32">
        <v>0</v>
      </c>
      <c r="AN45" s="32">
        <v>0</v>
      </c>
      <c r="AO45" s="32">
        <v>0</v>
      </c>
      <c r="AP45" s="32">
        <v>0</v>
      </c>
      <c r="AQ45" s="32">
        <v>0</v>
      </c>
      <c r="AR45" s="32">
        <v>0</v>
      </c>
      <c r="AS45" s="32">
        <v>0</v>
      </c>
      <c r="AT45" s="32">
        <v>0</v>
      </c>
      <c r="AU45" s="32">
        <v>0</v>
      </c>
      <c r="AV45" s="32">
        <v>0</v>
      </c>
      <c r="AW45" s="32">
        <v>0</v>
      </c>
      <c r="AX45" s="32">
        <v>960066</v>
      </c>
    </row>
    <row r="46" spans="1:50" ht="13.8">
      <c r="A46" s="30" t="s">
        <v>33</v>
      </c>
      <c r="B46" s="30" t="s">
        <v>91</v>
      </c>
      <c r="C46" s="32">
        <v>0</v>
      </c>
      <c r="D46" s="32">
        <v>0</v>
      </c>
      <c r="E46" s="32">
        <v>0</v>
      </c>
      <c r="F46" s="32">
        <v>0</v>
      </c>
      <c r="G46" s="32">
        <v>0</v>
      </c>
      <c r="H46" s="32">
        <v>0</v>
      </c>
      <c r="I46" s="32">
        <v>0</v>
      </c>
      <c r="J46" s="32">
        <v>0</v>
      </c>
      <c r="K46" s="32">
        <v>0</v>
      </c>
      <c r="L46" s="32">
        <v>0</v>
      </c>
      <c r="M46" s="32">
        <v>0</v>
      </c>
      <c r="N46" s="32">
        <v>0</v>
      </c>
      <c r="O46" s="32">
        <v>0</v>
      </c>
      <c r="P46" s="32">
        <v>686878</v>
      </c>
      <c r="Q46" s="32">
        <v>0</v>
      </c>
      <c r="R46" s="32">
        <v>0</v>
      </c>
      <c r="S46" s="32">
        <v>9669</v>
      </c>
      <c r="T46" s="32">
        <v>0</v>
      </c>
      <c r="U46" s="32">
        <v>0</v>
      </c>
      <c r="V46" s="32">
        <v>0</v>
      </c>
      <c r="W46" s="32">
        <v>0</v>
      </c>
      <c r="X46" s="32">
        <v>0</v>
      </c>
      <c r="Y46" s="32">
        <v>0</v>
      </c>
      <c r="Z46" s="32">
        <v>0</v>
      </c>
      <c r="AA46" s="32">
        <v>0</v>
      </c>
      <c r="AB46" s="32">
        <v>0</v>
      </c>
      <c r="AC46" s="32">
        <v>0</v>
      </c>
      <c r="AD46" s="32">
        <v>0</v>
      </c>
      <c r="AE46" s="63">
        <v>0</v>
      </c>
      <c r="AF46" s="32">
        <v>0</v>
      </c>
      <c r="AG46" s="32">
        <v>0</v>
      </c>
      <c r="AH46" s="32">
        <v>0</v>
      </c>
      <c r="AI46" s="33" t="s">
        <v>89</v>
      </c>
      <c r="AJ46" s="33" t="s">
        <v>89</v>
      </c>
      <c r="AK46" s="32">
        <v>0</v>
      </c>
      <c r="AL46" s="32">
        <v>0</v>
      </c>
      <c r="AM46" s="32">
        <v>0</v>
      </c>
      <c r="AN46" s="32">
        <v>0</v>
      </c>
      <c r="AO46" s="32">
        <v>0</v>
      </c>
      <c r="AP46" s="32">
        <v>0</v>
      </c>
      <c r="AQ46" s="32">
        <v>0</v>
      </c>
      <c r="AR46" s="32">
        <v>0</v>
      </c>
      <c r="AS46" s="32">
        <v>0</v>
      </c>
      <c r="AT46" s="32">
        <v>0</v>
      </c>
      <c r="AU46" s="32">
        <v>0</v>
      </c>
      <c r="AV46" s="32">
        <v>0</v>
      </c>
      <c r="AW46" s="32">
        <v>0</v>
      </c>
      <c r="AX46" s="32">
        <v>696547</v>
      </c>
    </row>
    <row r="47" spans="1:50" ht="13.8">
      <c r="A47" s="30" t="s">
        <v>14</v>
      </c>
      <c r="B47" s="30" t="s">
        <v>91</v>
      </c>
      <c r="C47" s="32">
        <v>179044</v>
      </c>
      <c r="D47" s="32">
        <v>0</v>
      </c>
      <c r="E47" s="32">
        <v>0</v>
      </c>
      <c r="F47" s="32">
        <v>0</v>
      </c>
      <c r="G47" s="32">
        <v>0</v>
      </c>
      <c r="H47" s="63">
        <v>0</v>
      </c>
      <c r="I47" s="32">
        <v>0</v>
      </c>
      <c r="J47" s="32">
        <v>0</v>
      </c>
      <c r="K47" s="32">
        <v>0</v>
      </c>
      <c r="L47" s="63">
        <v>0</v>
      </c>
      <c r="M47" s="32">
        <v>0</v>
      </c>
      <c r="N47" s="32">
        <v>0</v>
      </c>
      <c r="O47" s="32">
        <v>0</v>
      </c>
      <c r="P47" s="33" t="s">
        <v>89</v>
      </c>
      <c r="Q47" s="33" t="s">
        <v>89</v>
      </c>
      <c r="R47" s="32">
        <v>0</v>
      </c>
      <c r="S47" s="32">
        <v>0</v>
      </c>
      <c r="T47" s="32">
        <v>0</v>
      </c>
      <c r="U47" s="32">
        <v>0</v>
      </c>
      <c r="V47" s="32">
        <v>3218131</v>
      </c>
      <c r="W47" s="32">
        <v>0</v>
      </c>
      <c r="X47" s="32">
        <v>0</v>
      </c>
      <c r="Y47" s="32">
        <v>0</v>
      </c>
      <c r="Z47" s="32">
        <v>2710</v>
      </c>
      <c r="AA47" s="32">
        <v>0</v>
      </c>
      <c r="AB47" s="32">
        <v>0</v>
      </c>
      <c r="AC47" s="32">
        <v>0</v>
      </c>
      <c r="AD47" s="32">
        <v>0</v>
      </c>
      <c r="AE47" s="32">
        <v>2608739</v>
      </c>
      <c r="AF47" s="32">
        <v>484830</v>
      </c>
      <c r="AG47" s="32">
        <v>0</v>
      </c>
      <c r="AH47" s="32">
        <v>0</v>
      </c>
      <c r="AI47" s="63">
        <v>0</v>
      </c>
      <c r="AJ47" s="32">
        <v>0</v>
      </c>
      <c r="AK47" s="32">
        <v>0</v>
      </c>
      <c r="AL47" s="32">
        <v>0</v>
      </c>
      <c r="AM47" s="32">
        <v>0</v>
      </c>
      <c r="AN47" s="32">
        <v>0</v>
      </c>
      <c r="AO47" s="32">
        <v>0</v>
      </c>
      <c r="AP47" s="32">
        <v>0</v>
      </c>
      <c r="AQ47" s="32">
        <v>0</v>
      </c>
      <c r="AR47" s="32">
        <v>0</v>
      </c>
      <c r="AS47" s="32">
        <v>0</v>
      </c>
      <c r="AT47" s="32">
        <v>0</v>
      </c>
      <c r="AU47" s="32">
        <v>0</v>
      </c>
      <c r="AV47" s="32">
        <v>0</v>
      </c>
      <c r="AW47" s="32">
        <v>0</v>
      </c>
      <c r="AX47" s="32">
        <v>6493454</v>
      </c>
    </row>
    <row r="48" spans="1:50" ht="13.8">
      <c r="A48" s="30" t="s">
        <v>17</v>
      </c>
      <c r="B48" s="30" t="s">
        <v>91</v>
      </c>
      <c r="C48" s="63">
        <v>0</v>
      </c>
      <c r="D48" s="32">
        <v>0</v>
      </c>
      <c r="E48" s="32">
        <v>0</v>
      </c>
      <c r="F48" s="32">
        <v>0</v>
      </c>
      <c r="G48" s="32">
        <v>0</v>
      </c>
      <c r="H48" s="32">
        <v>0</v>
      </c>
      <c r="I48" s="32">
        <v>0</v>
      </c>
      <c r="J48" s="32">
        <v>0</v>
      </c>
      <c r="K48" s="32">
        <v>0</v>
      </c>
      <c r="L48" s="32">
        <v>0</v>
      </c>
      <c r="M48" s="32">
        <v>0</v>
      </c>
      <c r="N48" s="32">
        <v>0</v>
      </c>
      <c r="O48" s="32">
        <v>0</v>
      </c>
      <c r="P48" s="32">
        <v>0</v>
      </c>
      <c r="Q48" s="32">
        <v>83375</v>
      </c>
      <c r="R48" s="32">
        <v>0</v>
      </c>
      <c r="S48" s="32">
        <v>0</v>
      </c>
      <c r="T48" s="63">
        <v>0</v>
      </c>
      <c r="U48" s="33" t="s">
        <v>89</v>
      </c>
      <c r="V48" s="33" t="s">
        <v>89</v>
      </c>
      <c r="W48" s="32">
        <v>0</v>
      </c>
      <c r="X48" s="32">
        <v>0</v>
      </c>
      <c r="Y48" s="32">
        <v>0</v>
      </c>
      <c r="Z48" s="32">
        <v>0</v>
      </c>
      <c r="AA48" s="32">
        <v>0</v>
      </c>
      <c r="AB48" s="32">
        <v>0</v>
      </c>
      <c r="AC48" s="32">
        <v>0</v>
      </c>
      <c r="AD48" s="32">
        <v>0</v>
      </c>
      <c r="AE48" s="32">
        <v>7972</v>
      </c>
      <c r="AF48" s="63">
        <v>0</v>
      </c>
      <c r="AG48" s="32">
        <v>0</v>
      </c>
      <c r="AH48" s="32">
        <v>0</v>
      </c>
      <c r="AI48" s="32">
        <v>0</v>
      </c>
      <c r="AJ48" s="32">
        <v>0</v>
      </c>
      <c r="AK48" s="32">
        <v>0</v>
      </c>
      <c r="AL48" s="32">
        <v>0</v>
      </c>
      <c r="AM48" s="32">
        <v>0</v>
      </c>
      <c r="AN48" s="32">
        <v>0</v>
      </c>
      <c r="AO48" s="32">
        <v>0</v>
      </c>
      <c r="AP48" s="32">
        <v>0</v>
      </c>
      <c r="AQ48" s="32">
        <v>0</v>
      </c>
      <c r="AR48" s="32">
        <v>0</v>
      </c>
      <c r="AS48" s="32">
        <v>0</v>
      </c>
      <c r="AT48" s="32">
        <v>0</v>
      </c>
      <c r="AU48" s="32">
        <v>0</v>
      </c>
      <c r="AV48" s="32">
        <v>0</v>
      </c>
      <c r="AW48" s="32">
        <v>0</v>
      </c>
      <c r="AX48" s="32">
        <v>91347</v>
      </c>
    </row>
    <row r="49" spans="1:50" ht="13.8">
      <c r="A49" s="30" t="s">
        <v>18</v>
      </c>
      <c r="B49" s="30" t="s">
        <v>91</v>
      </c>
      <c r="C49" s="32">
        <v>0</v>
      </c>
      <c r="D49" s="32">
        <v>0</v>
      </c>
      <c r="E49" s="32">
        <v>0</v>
      </c>
      <c r="F49" s="32">
        <v>0</v>
      </c>
      <c r="G49" s="32">
        <v>0</v>
      </c>
      <c r="H49" s="32">
        <v>0</v>
      </c>
      <c r="I49" s="32">
        <v>0</v>
      </c>
      <c r="J49" s="32">
        <v>0</v>
      </c>
      <c r="K49" s="32">
        <v>0</v>
      </c>
      <c r="L49" s="32">
        <v>0</v>
      </c>
      <c r="M49" s="32">
        <v>0</v>
      </c>
      <c r="N49" s="32">
        <v>0</v>
      </c>
      <c r="O49" s="32">
        <v>0</v>
      </c>
      <c r="P49" s="32">
        <v>0</v>
      </c>
      <c r="Q49" s="63">
        <v>0</v>
      </c>
      <c r="R49" s="32">
        <v>0</v>
      </c>
      <c r="S49" s="32">
        <v>0</v>
      </c>
      <c r="T49" s="32">
        <v>0</v>
      </c>
      <c r="U49" s="32">
        <v>0</v>
      </c>
      <c r="V49" s="32">
        <v>14736780</v>
      </c>
      <c r="W49" s="33" t="s">
        <v>89</v>
      </c>
      <c r="X49" s="33" t="s">
        <v>89</v>
      </c>
      <c r="Y49" s="32">
        <v>0</v>
      </c>
      <c r="Z49" s="32">
        <v>0</v>
      </c>
      <c r="AA49" s="32">
        <v>0</v>
      </c>
      <c r="AB49" s="32">
        <v>0</v>
      </c>
      <c r="AC49" s="32">
        <v>0</v>
      </c>
      <c r="AD49" s="32">
        <v>0</v>
      </c>
      <c r="AE49" s="63">
        <v>0</v>
      </c>
      <c r="AF49" s="63">
        <v>0</v>
      </c>
      <c r="AG49" s="32">
        <v>0</v>
      </c>
      <c r="AH49" s="32">
        <v>0</v>
      </c>
      <c r="AI49" s="32">
        <v>0</v>
      </c>
      <c r="AJ49" s="32">
        <v>0</v>
      </c>
      <c r="AK49" s="32">
        <v>0</v>
      </c>
      <c r="AL49" s="32">
        <v>0</v>
      </c>
      <c r="AM49" s="32">
        <v>0</v>
      </c>
      <c r="AN49" s="32">
        <v>0</v>
      </c>
      <c r="AO49" s="32">
        <v>0</v>
      </c>
      <c r="AP49" s="32">
        <v>0</v>
      </c>
      <c r="AQ49" s="32">
        <v>0</v>
      </c>
      <c r="AR49" s="32">
        <v>0</v>
      </c>
      <c r="AS49" s="32">
        <v>0</v>
      </c>
      <c r="AT49" s="32">
        <v>0</v>
      </c>
      <c r="AU49" s="32">
        <v>0</v>
      </c>
      <c r="AV49" s="32">
        <v>0</v>
      </c>
      <c r="AW49" s="32">
        <v>0</v>
      </c>
      <c r="AX49" s="32">
        <v>14736780</v>
      </c>
    </row>
    <row r="50" spans="1:50" ht="13.8">
      <c r="A50" s="30" t="s">
        <v>34</v>
      </c>
      <c r="B50" s="30" t="s">
        <v>91</v>
      </c>
      <c r="C50" s="32">
        <v>4025</v>
      </c>
      <c r="D50" s="32">
        <v>0</v>
      </c>
      <c r="E50" s="32">
        <v>0</v>
      </c>
      <c r="F50" s="32">
        <v>0</v>
      </c>
      <c r="G50" s="32">
        <v>0</v>
      </c>
      <c r="H50" s="32">
        <v>26360</v>
      </c>
      <c r="I50" s="32">
        <v>0</v>
      </c>
      <c r="J50" s="32">
        <v>0</v>
      </c>
      <c r="K50" s="32">
        <v>0</v>
      </c>
      <c r="L50" s="32">
        <v>0</v>
      </c>
      <c r="M50" s="32">
        <v>0</v>
      </c>
      <c r="N50" s="32">
        <v>0</v>
      </c>
      <c r="O50" s="32">
        <v>0</v>
      </c>
      <c r="P50" s="32">
        <v>0</v>
      </c>
      <c r="Q50" s="32">
        <v>0</v>
      </c>
      <c r="R50" s="32">
        <v>0</v>
      </c>
      <c r="S50" s="32">
        <v>0</v>
      </c>
      <c r="T50" s="32">
        <v>0</v>
      </c>
      <c r="U50" s="32">
        <v>0</v>
      </c>
      <c r="V50" s="32">
        <v>0</v>
      </c>
      <c r="W50" s="32">
        <v>0</v>
      </c>
      <c r="X50" s="32">
        <v>0</v>
      </c>
      <c r="Y50" s="32">
        <v>0</v>
      </c>
      <c r="Z50" s="32">
        <v>0</v>
      </c>
      <c r="AA50" s="32">
        <v>0</v>
      </c>
      <c r="AB50" s="32">
        <v>0</v>
      </c>
      <c r="AC50" s="32">
        <v>0</v>
      </c>
      <c r="AD50" s="32">
        <v>0</v>
      </c>
      <c r="AE50" s="32">
        <v>0</v>
      </c>
      <c r="AF50" s="32">
        <v>0</v>
      </c>
      <c r="AG50" s="32">
        <v>0</v>
      </c>
      <c r="AH50" s="32">
        <v>0</v>
      </c>
      <c r="AI50" s="32">
        <v>0</v>
      </c>
      <c r="AJ50" s="32">
        <v>0</v>
      </c>
      <c r="AK50" s="33" t="s">
        <v>89</v>
      </c>
      <c r="AL50" s="32">
        <v>0</v>
      </c>
      <c r="AM50" s="32">
        <v>0</v>
      </c>
      <c r="AN50" s="32">
        <v>0</v>
      </c>
      <c r="AO50" s="32">
        <v>0</v>
      </c>
      <c r="AP50" s="32">
        <v>0</v>
      </c>
      <c r="AQ50" s="32">
        <v>0</v>
      </c>
      <c r="AR50" s="32">
        <v>0</v>
      </c>
      <c r="AS50" s="32">
        <v>0</v>
      </c>
      <c r="AT50" s="32">
        <v>0</v>
      </c>
      <c r="AU50" s="32">
        <v>0</v>
      </c>
      <c r="AV50" s="32">
        <v>0</v>
      </c>
      <c r="AW50" s="32">
        <v>0</v>
      </c>
      <c r="AX50" s="32">
        <v>30385</v>
      </c>
    </row>
    <row r="51" spans="1:50" ht="13.8">
      <c r="A51" s="30" t="s">
        <v>36</v>
      </c>
      <c r="B51" s="30" t="s">
        <v>91</v>
      </c>
      <c r="C51" s="32">
        <v>14500000</v>
      </c>
      <c r="D51" s="32">
        <v>0</v>
      </c>
      <c r="E51" s="32">
        <v>0</v>
      </c>
      <c r="F51" s="32">
        <v>0</v>
      </c>
      <c r="G51" s="32">
        <v>0</v>
      </c>
      <c r="H51" s="32">
        <v>1446270</v>
      </c>
      <c r="I51" s="32">
        <v>0</v>
      </c>
      <c r="J51" s="32">
        <v>0</v>
      </c>
      <c r="K51" s="32">
        <v>213290</v>
      </c>
      <c r="L51" s="32">
        <v>0</v>
      </c>
      <c r="M51" s="32">
        <v>0</v>
      </c>
      <c r="N51" s="32">
        <v>616254</v>
      </c>
      <c r="O51" s="32">
        <v>0</v>
      </c>
      <c r="P51" s="32">
        <v>0</v>
      </c>
      <c r="Q51" s="32">
        <v>0</v>
      </c>
      <c r="R51" s="32">
        <v>0</v>
      </c>
      <c r="S51" s="32">
        <v>197838767</v>
      </c>
      <c r="T51" s="32">
        <v>0</v>
      </c>
      <c r="U51" s="32">
        <v>0</v>
      </c>
      <c r="V51" s="32">
        <v>0</v>
      </c>
      <c r="W51" s="32">
        <v>0</v>
      </c>
      <c r="X51" s="32">
        <v>0</v>
      </c>
      <c r="Y51" s="32">
        <v>0</v>
      </c>
      <c r="Z51" s="32">
        <v>0</v>
      </c>
      <c r="AA51" s="32">
        <v>0</v>
      </c>
      <c r="AB51" s="32">
        <v>0</v>
      </c>
      <c r="AC51" s="32">
        <v>200593796</v>
      </c>
      <c r="AD51" s="32">
        <v>0</v>
      </c>
      <c r="AE51" s="32">
        <v>136276855</v>
      </c>
      <c r="AF51" s="32">
        <v>0</v>
      </c>
      <c r="AG51" s="32">
        <v>0</v>
      </c>
      <c r="AH51" s="32">
        <v>0</v>
      </c>
      <c r="AI51" s="32">
        <v>0</v>
      </c>
      <c r="AJ51" s="32">
        <v>0</v>
      </c>
      <c r="AK51" s="32">
        <v>0</v>
      </c>
      <c r="AL51" s="33" t="s">
        <v>89</v>
      </c>
      <c r="AM51" s="33" t="s">
        <v>89</v>
      </c>
      <c r="AN51" s="33" t="s">
        <v>89</v>
      </c>
      <c r="AO51" s="32">
        <v>0</v>
      </c>
      <c r="AP51" s="32">
        <v>0</v>
      </c>
      <c r="AQ51" s="32">
        <v>0</v>
      </c>
      <c r="AR51" s="32">
        <v>0</v>
      </c>
      <c r="AS51" s="32">
        <v>0</v>
      </c>
      <c r="AT51" s="32">
        <v>0</v>
      </c>
      <c r="AU51" s="32">
        <v>0</v>
      </c>
      <c r="AV51" s="32">
        <v>0</v>
      </c>
      <c r="AW51" s="32">
        <v>0</v>
      </c>
      <c r="AX51" s="32">
        <v>551485232</v>
      </c>
    </row>
    <row r="52" spans="1:50" ht="13.8">
      <c r="A52" s="30" t="s">
        <v>37</v>
      </c>
      <c r="B52" s="30" t="s">
        <v>91</v>
      </c>
      <c r="C52" s="32">
        <v>5514</v>
      </c>
      <c r="D52" s="32">
        <v>0</v>
      </c>
      <c r="E52" s="32">
        <v>0</v>
      </c>
      <c r="F52" s="32">
        <v>0</v>
      </c>
      <c r="G52" s="32">
        <v>0</v>
      </c>
      <c r="H52" s="32">
        <v>87215</v>
      </c>
      <c r="I52" s="32">
        <v>152601</v>
      </c>
      <c r="J52" s="32">
        <v>0</v>
      </c>
      <c r="K52" s="32">
        <v>0</v>
      </c>
      <c r="L52" s="32">
        <v>0</v>
      </c>
      <c r="M52" s="32">
        <v>6096</v>
      </c>
      <c r="N52" s="32">
        <v>0</v>
      </c>
      <c r="O52" s="32">
        <v>0</v>
      </c>
      <c r="P52" s="32">
        <v>0</v>
      </c>
      <c r="Q52" s="32">
        <v>0</v>
      </c>
      <c r="R52" s="32">
        <v>0</v>
      </c>
      <c r="S52" s="32">
        <v>0</v>
      </c>
      <c r="T52" s="32">
        <v>0</v>
      </c>
      <c r="U52" s="32">
        <v>0</v>
      </c>
      <c r="V52" s="32">
        <v>0</v>
      </c>
      <c r="W52" s="32">
        <v>0</v>
      </c>
      <c r="X52" s="32">
        <v>0</v>
      </c>
      <c r="Y52" s="32">
        <v>0</v>
      </c>
      <c r="Z52" s="32">
        <v>0</v>
      </c>
      <c r="AA52" s="32">
        <v>0</v>
      </c>
      <c r="AB52" s="32">
        <v>0</v>
      </c>
      <c r="AC52" s="32">
        <v>0</v>
      </c>
      <c r="AD52" s="32">
        <v>0</v>
      </c>
      <c r="AE52" s="32">
        <v>0</v>
      </c>
      <c r="AF52" s="32">
        <v>0</v>
      </c>
      <c r="AG52" s="32">
        <v>0</v>
      </c>
      <c r="AH52" s="32">
        <v>0</v>
      </c>
      <c r="AI52" s="32">
        <v>0</v>
      </c>
      <c r="AJ52" s="32">
        <v>0</v>
      </c>
      <c r="AK52" s="32">
        <v>0</v>
      </c>
      <c r="AL52" s="32">
        <v>0</v>
      </c>
      <c r="AM52" s="32">
        <v>0</v>
      </c>
      <c r="AN52" s="32">
        <v>0</v>
      </c>
      <c r="AO52" s="33" t="s">
        <v>89</v>
      </c>
      <c r="AP52" s="33" t="s">
        <v>89</v>
      </c>
      <c r="AQ52" s="32">
        <v>17479256</v>
      </c>
      <c r="AR52" s="32">
        <v>3248809</v>
      </c>
      <c r="AS52" s="32">
        <v>0</v>
      </c>
      <c r="AT52" s="32">
        <v>0</v>
      </c>
      <c r="AU52" s="32">
        <v>0</v>
      </c>
      <c r="AV52" s="32">
        <v>0</v>
      </c>
      <c r="AW52" s="32">
        <v>0</v>
      </c>
      <c r="AX52" s="32">
        <v>20979491</v>
      </c>
    </row>
    <row r="53" spans="1:50" ht="13.8">
      <c r="A53" s="30" t="s">
        <v>42</v>
      </c>
      <c r="B53" s="30" t="s">
        <v>91</v>
      </c>
      <c r="C53" s="32">
        <v>0</v>
      </c>
      <c r="D53" s="32">
        <v>238697217</v>
      </c>
      <c r="E53" s="32">
        <v>0</v>
      </c>
      <c r="F53" s="32">
        <v>0</v>
      </c>
      <c r="G53" s="32">
        <v>0</v>
      </c>
      <c r="H53" s="32">
        <v>0</v>
      </c>
      <c r="I53" s="32">
        <v>0</v>
      </c>
      <c r="J53" s="32">
        <v>0</v>
      </c>
      <c r="K53" s="32">
        <v>0</v>
      </c>
      <c r="L53" s="32">
        <v>0</v>
      </c>
      <c r="M53" s="32">
        <v>0</v>
      </c>
      <c r="N53" s="32">
        <v>0</v>
      </c>
      <c r="O53" s="32">
        <v>0</v>
      </c>
      <c r="P53" s="32">
        <v>0</v>
      </c>
      <c r="Q53" s="32">
        <v>0</v>
      </c>
      <c r="R53" s="32">
        <v>0</v>
      </c>
      <c r="S53" s="32">
        <v>0</v>
      </c>
      <c r="T53" s="32">
        <v>0</v>
      </c>
      <c r="U53" s="32">
        <v>0</v>
      </c>
      <c r="V53" s="32">
        <v>0</v>
      </c>
      <c r="W53" s="32">
        <v>0</v>
      </c>
      <c r="X53" s="32">
        <v>0</v>
      </c>
      <c r="Y53" s="32">
        <v>0</v>
      </c>
      <c r="Z53" s="32">
        <v>0</v>
      </c>
      <c r="AA53" s="32">
        <v>0</v>
      </c>
      <c r="AB53" s="32">
        <v>0</v>
      </c>
      <c r="AC53" s="32">
        <v>0</v>
      </c>
      <c r="AD53" s="32">
        <v>0</v>
      </c>
      <c r="AE53" s="32">
        <v>0</v>
      </c>
      <c r="AF53" s="32">
        <v>0</v>
      </c>
      <c r="AG53" s="32">
        <v>0</v>
      </c>
      <c r="AH53" s="32">
        <v>0</v>
      </c>
      <c r="AI53" s="32">
        <v>0</v>
      </c>
      <c r="AJ53" s="32">
        <v>0</v>
      </c>
      <c r="AK53" s="32">
        <v>0</v>
      </c>
      <c r="AL53" s="32">
        <v>0</v>
      </c>
      <c r="AM53" s="32">
        <v>0</v>
      </c>
      <c r="AN53" s="32">
        <v>0</v>
      </c>
      <c r="AO53" s="32">
        <v>0</v>
      </c>
      <c r="AP53" s="32">
        <v>0</v>
      </c>
      <c r="AQ53" s="32">
        <v>0</v>
      </c>
      <c r="AR53" s="32">
        <v>0</v>
      </c>
      <c r="AS53" s="33" t="s">
        <v>89</v>
      </c>
      <c r="AT53" s="32">
        <v>0</v>
      </c>
      <c r="AU53" s="32">
        <v>0</v>
      </c>
      <c r="AV53" s="32">
        <v>0</v>
      </c>
      <c r="AW53" s="32">
        <v>0</v>
      </c>
      <c r="AX53" s="32">
        <v>238697217</v>
      </c>
    </row>
    <row r="54" spans="1:50" ht="13.8">
      <c r="A54" s="30" t="s">
        <v>6</v>
      </c>
      <c r="B54" s="30" t="s">
        <v>63</v>
      </c>
      <c r="C54" s="32">
        <v>0</v>
      </c>
      <c r="D54" s="32">
        <v>0</v>
      </c>
      <c r="E54" s="32">
        <v>0</v>
      </c>
      <c r="F54" s="32">
        <v>0</v>
      </c>
      <c r="G54" s="32">
        <v>0</v>
      </c>
      <c r="H54" s="32">
        <v>415553</v>
      </c>
      <c r="I54" s="32">
        <v>0</v>
      </c>
      <c r="J54" s="32">
        <v>0</v>
      </c>
      <c r="K54" s="32">
        <v>0</v>
      </c>
      <c r="L54" s="32">
        <v>97529893</v>
      </c>
      <c r="M54" s="32">
        <v>0</v>
      </c>
      <c r="N54" s="32">
        <v>0</v>
      </c>
      <c r="O54" s="32">
        <v>0</v>
      </c>
      <c r="P54" s="32">
        <v>0</v>
      </c>
      <c r="Q54" s="32">
        <v>0</v>
      </c>
      <c r="R54" s="32">
        <v>0</v>
      </c>
      <c r="S54" s="32">
        <v>0</v>
      </c>
      <c r="T54" s="32">
        <v>0</v>
      </c>
      <c r="U54" s="32">
        <v>39302759</v>
      </c>
      <c r="V54" s="32">
        <v>0</v>
      </c>
      <c r="W54" s="32">
        <v>4744300</v>
      </c>
      <c r="X54" s="32">
        <v>0</v>
      </c>
      <c r="Y54" s="32">
        <v>0</v>
      </c>
      <c r="Z54" s="32">
        <v>0</v>
      </c>
      <c r="AA54" s="32">
        <v>0</v>
      </c>
      <c r="AB54" s="32">
        <v>0</v>
      </c>
      <c r="AC54" s="32">
        <v>0</v>
      </c>
      <c r="AD54" s="32">
        <v>0</v>
      </c>
      <c r="AE54" s="32">
        <v>0</v>
      </c>
      <c r="AF54" s="32">
        <v>0</v>
      </c>
      <c r="AG54" s="32">
        <v>0</v>
      </c>
      <c r="AH54" s="32">
        <v>0</v>
      </c>
      <c r="AI54" s="32">
        <v>4480442</v>
      </c>
      <c r="AJ54" s="32">
        <v>0</v>
      </c>
      <c r="AK54" s="32">
        <v>0</v>
      </c>
      <c r="AL54" s="32">
        <v>257199715</v>
      </c>
      <c r="AM54" s="32">
        <v>0</v>
      </c>
      <c r="AN54" s="32">
        <v>0</v>
      </c>
      <c r="AO54" s="32">
        <v>33530</v>
      </c>
      <c r="AP54" s="32">
        <v>0</v>
      </c>
      <c r="AQ54" s="32">
        <v>0</v>
      </c>
      <c r="AR54" s="32">
        <v>0</v>
      </c>
      <c r="AS54" s="32">
        <v>0</v>
      </c>
      <c r="AT54" s="32">
        <v>0</v>
      </c>
      <c r="AU54" s="32">
        <v>0</v>
      </c>
      <c r="AV54" s="32">
        <v>0</v>
      </c>
      <c r="AW54" s="32">
        <v>0</v>
      </c>
      <c r="AX54" s="32">
        <v>403706192</v>
      </c>
    </row>
    <row r="55" spans="1:50" ht="13.8">
      <c r="A55" s="30" t="s">
        <v>7</v>
      </c>
      <c r="B55" s="30" t="s">
        <v>63</v>
      </c>
      <c r="C55" s="32">
        <v>0</v>
      </c>
      <c r="D55" s="32">
        <v>0</v>
      </c>
      <c r="E55" s="32">
        <v>0</v>
      </c>
      <c r="F55" s="32">
        <v>0</v>
      </c>
      <c r="G55" s="32">
        <v>0</v>
      </c>
      <c r="H55" s="33" t="s">
        <v>89</v>
      </c>
      <c r="I55" s="32">
        <v>0</v>
      </c>
      <c r="J55" s="32">
        <v>0</v>
      </c>
      <c r="K55" s="32">
        <v>0</v>
      </c>
      <c r="L55" s="32">
        <v>0</v>
      </c>
      <c r="M55" s="32">
        <v>0</v>
      </c>
      <c r="N55" s="32">
        <v>0</v>
      </c>
      <c r="O55" s="32">
        <v>0</v>
      </c>
      <c r="P55" s="32">
        <v>0</v>
      </c>
      <c r="Q55" s="32">
        <v>0</v>
      </c>
      <c r="R55" s="32">
        <v>0</v>
      </c>
      <c r="S55" s="32">
        <v>0</v>
      </c>
      <c r="T55" s="32">
        <v>0</v>
      </c>
      <c r="U55" s="32">
        <v>0</v>
      </c>
      <c r="V55" s="32">
        <v>0</v>
      </c>
      <c r="W55" s="32">
        <v>0</v>
      </c>
      <c r="X55" s="32">
        <v>0</v>
      </c>
      <c r="Y55" s="32">
        <v>0</v>
      </c>
      <c r="Z55" s="32">
        <v>0</v>
      </c>
      <c r="AA55" s="32">
        <v>0</v>
      </c>
      <c r="AB55" s="32">
        <v>0</v>
      </c>
      <c r="AC55" s="32">
        <v>0</v>
      </c>
      <c r="AD55" s="32">
        <v>0</v>
      </c>
      <c r="AE55" s="32">
        <v>0</v>
      </c>
      <c r="AF55" s="32">
        <v>0</v>
      </c>
      <c r="AG55" s="32">
        <v>0</v>
      </c>
      <c r="AH55" s="32">
        <v>0</v>
      </c>
      <c r="AI55" s="32">
        <v>0</v>
      </c>
      <c r="AJ55" s="32">
        <v>0</v>
      </c>
      <c r="AK55" s="32">
        <v>0</v>
      </c>
      <c r="AL55" s="32">
        <v>0</v>
      </c>
      <c r="AM55" s="32">
        <v>0</v>
      </c>
      <c r="AN55" s="32">
        <v>0</v>
      </c>
      <c r="AO55" s="32">
        <v>0</v>
      </c>
      <c r="AP55" s="32">
        <v>0</v>
      </c>
      <c r="AQ55" s="32">
        <v>15649</v>
      </c>
      <c r="AR55" s="32">
        <v>4794</v>
      </c>
      <c r="AS55" s="32">
        <v>0</v>
      </c>
      <c r="AT55" s="32">
        <v>0</v>
      </c>
      <c r="AU55" s="32">
        <v>0</v>
      </c>
      <c r="AV55" s="32">
        <v>0</v>
      </c>
      <c r="AW55" s="32">
        <v>0</v>
      </c>
      <c r="AX55" s="32">
        <v>20443</v>
      </c>
    </row>
    <row r="56" spans="1:50" ht="13.8">
      <c r="A56" s="30" t="s">
        <v>8</v>
      </c>
      <c r="B56" s="30" t="s">
        <v>63</v>
      </c>
      <c r="C56" s="32">
        <v>42283662</v>
      </c>
      <c r="D56" s="32">
        <v>0</v>
      </c>
      <c r="E56" s="32">
        <v>0</v>
      </c>
      <c r="F56" s="32">
        <v>0</v>
      </c>
      <c r="G56" s="32">
        <v>0</v>
      </c>
      <c r="H56" s="32">
        <v>0</v>
      </c>
      <c r="I56" s="33" t="s">
        <v>89</v>
      </c>
      <c r="J56" s="32">
        <v>0</v>
      </c>
      <c r="K56" s="32">
        <v>0</v>
      </c>
      <c r="L56" s="32">
        <v>0</v>
      </c>
      <c r="M56" s="32">
        <v>0</v>
      </c>
      <c r="N56" s="32">
        <v>0</v>
      </c>
      <c r="O56" s="32">
        <v>0</v>
      </c>
      <c r="P56" s="32">
        <v>0</v>
      </c>
      <c r="Q56" s="32">
        <v>0</v>
      </c>
      <c r="R56" s="32">
        <v>0</v>
      </c>
      <c r="S56" s="32">
        <v>0</v>
      </c>
      <c r="T56" s="32">
        <v>0</v>
      </c>
      <c r="U56" s="32">
        <v>0</v>
      </c>
      <c r="V56" s="32">
        <v>0</v>
      </c>
      <c r="W56" s="32">
        <v>0</v>
      </c>
      <c r="X56" s="32">
        <v>0</v>
      </c>
      <c r="Y56" s="32">
        <v>0</v>
      </c>
      <c r="Z56" s="32">
        <v>0</v>
      </c>
      <c r="AA56" s="32">
        <v>0</v>
      </c>
      <c r="AB56" s="32">
        <v>0</v>
      </c>
      <c r="AC56" s="32">
        <v>0</v>
      </c>
      <c r="AD56" s="32">
        <v>0</v>
      </c>
      <c r="AE56" s="32">
        <v>0</v>
      </c>
      <c r="AF56" s="32">
        <v>0</v>
      </c>
      <c r="AG56" s="32">
        <v>0</v>
      </c>
      <c r="AH56" s="32">
        <v>0</v>
      </c>
      <c r="AI56" s="32">
        <v>0</v>
      </c>
      <c r="AJ56" s="32">
        <v>0</v>
      </c>
      <c r="AK56" s="32">
        <v>0</v>
      </c>
      <c r="AL56" s="32">
        <v>0</v>
      </c>
      <c r="AM56" s="32">
        <v>0</v>
      </c>
      <c r="AN56" s="32">
        <v>0</v>
      </c>
      <c r="AO56" s="32">
        <v>0</v>
      </c>
      <c r="AP56" s="32">
        <v>0</v>
      </c>
      <c r="AQ56" s="32">
        <v>0</v>
      </c>
      <c r="AR56" s="32">
        <v>0</v>
      </c>
      <c r="AS56" s="32">
        <v>0</v>
      </c>
      <c r="AT56" s="32">
        <v>0</v>
      </c>
      <c r="AU56" s="32">
        <v>0</v>
      </c>
      <c r="AV56" s="32">
        <v>0</v>
      </c>
      <c r="AW56" s="32">
        <v>0</v>
      </c>
      <c r="AX56" s="32">
        <v>42283662</v>
      </c>
    </row>
    <row r="57" spans="1:50" ht="13.8">
      <c r="A57" s="30" t="s">
        <v>9</v>
      </c>
      <c r="B57" s="30" t="s">
        <v>63</v>
      </c>
      <c r="C57" s="32">
        <v>2610530</v>
      </c>
      <c r="D57" s="32">
        <v>0</v>
      </c>
      <c r="E57" s="32">
        <v>0</v>
      </c>
      <c r="F57" s="63">
        <v>0</v>
      </c>
      <c r="G57" s="32">
        <v>0</v>
      </c>
      <c r="H57" s="32">
        <v>0</v>
      </c>
      <c r="I57" s="32">
        <v>0</v>
      </c>
      <c r="J57" s="33" t="s">
        <v>89</v>
      </c>
      <c r="K57" s="33" t="s">
        <v>89</v>
      </c>
      <c r="L57" s="32">
        <v>0</v>
      </c>
      <c r="M57" s="32">
        <v>0</v>
      </c>
      <c r="N57" s="32">
        <v>0</v>
      </c>
      <c r="O57" s="32">
        <v>0</v>
      </c>
      <c r="P57" s="32">
        <v>0</v>
      </c>
      <c r="Q57" s="32">
        <v>0</v>
      </c>
      <c r="R57" s="32">
        <v>0</v>
      </c>
      <c r="S57" s="32">
        <v>0</v>
      </c>
      <c r="T57" s="32">
        <v>0</v>
      </c>
      <c r="U57" s="32">
        <v>0</v>
      </c>
      <c r="V57" s="32">
        <v>0</v>
      </c>
      <c r="W57" s="32">
        <v>0</v>
      </c>
      <c r="X57" s="32">
        <v>0</v>
      </c>
      <c r="Y57" s="32">
        <v>0</v>
      </c>
      <c r="Z57" s="32">
        <v>0</v>
      </c>
      <c r="AA57" s="32">
        <v>0</v>
      </c>
      <c r="AB57" s="32">
        <v>0</v>
      </c>
      <c r="AC57" s="32">
        <v>0</v>
      </c>
      <c r="AD57" s="32">
        <v>0</v>
      </c>
      <c r="AE57" s="32">
        <v>0</v>
      </c>
      <c r="AF57" s="32">
        <v>0</v>
      </c>
      <c r="AG57" s="32">
        <v>0</v>
      </c>
      <c r="AH57" s="32">
        <v>0</v>
      </c>
      <c r="AI57" s="32">
        <v>0</v>
      </c>
      <c r="AJ57" s="32">
        <v>0</v>
      </c>
      <c r="AK57" s="32">
        <v>0</v>
      </c>
      <c r="AL57" s="32">
        <v>0</v>
      </c>
      <c r="AM57" s="32">
        <v>0</v>
      </c>
      <c r="AN57" s="32">
        <v>0</v>
      </c>
      <c r="AO57" s="32">
        <v>0</v>
      </c>
      <c r="AP57" s="32">
        <v>0</v>
      </c>
      <c r="AQ57" s="32">
        <v>0</v>
      </c>
      <c r="AR57" s="32">
        <v>0</v>
      </c>
      <c r="AS57" s="32">
        <v>0</v>
      </c>
      <c r="AT57" s="32">
        <v>0</v>
      </c>
      <c r="AU57" s="32">
        <v>0</v>
      </c>
      <c r="AV57" s="32">
        <v>0</v>
      </c>
      <c r="AW57" s="32">
        <v>0</v>
      </c>
      <c r="AX57" s="32">
        <v>2610530</v>
      </c>
    </row>
    <row r="58" spans="1:50" ht="13.8">
      <c r="A58" s="30" t="s">
        <v>10</v>
      </c>
      <c r="B58" s="30" t="s">
        <v>63</v>
      </c>
      <c r="C58" s="32">
        <v>68225414392</v>
      </c>
      <c r="D58" s="32">
        <v>0</v>
      </c>
      <c r="E58" s="32">
        <v>0</v>
      </c>
      <c r="F58" s="32">
        <v>0</v>
      </c>
      <c r="G58" s="32">
        <v>0</v>
      </c>
      <c r="H58" s="32">
        <v>0</v>
      </c>
      <c r="I58" s="32">
        <v>0</v>
      </c>
      <c r="J58" s="32">
        <v>0</v>
      </c>
      <c r="K58" s="32">
        <v>0</v>
      </c>
      <c r="L58" s="33" t="s">
        <v>89</v>
      </c>
      <c r="M58" s="32">
        <v>0</v>
      </c>
      <c r="N58" s="32">
        <v>0</v>
      </c>
      <c r="O58" s="32">
        <v>0</v>
      </c>
      <c r="P58" s="32">
        <v>0</v>
      </c>
      <c r="Q58" s="32">
        <v>0</v>
      </c>
      <c r="R58" s="32">
        <v>0</v>
      </c>
      <c r="S58" s="32">
        <v>0</v>
      </c>
      <c r="T58" s="32">
        <v>0</v>
      </c>
      <c r="U58" s="32">
        <v>0</v>
      </c>
      <c r="V58" s="32">
        <v>0</v>
      </c>
      <c r="W58" s="32">
        <v>0</v>
      </c>
      <c r="X58" s="32">
        <v>0</v>
      </c>
      <c r="Y58" s="32">
        <v>0</v>
      </c>
      <c r="Z58" s="32">
        <v>0</v>
      </c>
      <c r="AA58" s="32">
        <v>0</v>
      </c>
      <c r="AB58" s="32">
        <v>0</v>
      </c>
      <c r="AC58" s="32">
        <v>0</v>
      </c>
      <c r="AD58" s="32">
        <v>0</v>
      </c>
      <c r="AE58" s="32">
        <v>0</v>
      </c>
      <c r="AF58" s="32">
        <v>0</v>
      </c>
      <c r="AG58" s="32">
        <v>0</v>
      </c>
      <c r="AH58" s="32">
        <v>0</v>
      </c>
      <c r="AI58" s="32">
        <v>0</v>
      </c>
      <c r="AJ58" s="32">
        <v>0</v>
      </c>
      <c r="AK58" s="32">
        <v>0</v>
      </c>
      <c r="AL58" s="32">
        <v>0</v>
      </c>
      <c r="AM58" s="32">
        <v>0</v>
      </c>
      <c r="AN58" s="32">
        <v>0</v>
      </c>
      <c r="AO58" s="32">
        <v>0</v>
      </c>
      <c r="AP58" s="32">
        <v>0</v>
      </c>
      <c r="AQ58" s="32">
        <v>0</v>
      </c>
      <c r="AR58" s="32">
        <v>0</v>
      </c>
      <c r="AS58" s="32">
        <v>0</v>
      </c>
      <c r="AT58" s="32">
        <v>0</v>
      </c>
      <c r="AU58" s="32">
        <v>0</v>
      </c>
      <c r="AV58" s="32">
        <v>0</v>
      </c>
      <c r="AW58" s="32">
        <v>0</v>
      </c>
      <c r="AX58" s="32">
        <v>68225414392</v>
      </c>
    </row>
    <row r="59" spans="1:50" ht="13.8">
      <c r="A59" s="30" t="s">
        <v>16</v>
      </c>
      <c r="B59" s="30" t="s">
        <v>63</v>
      </c>
      <c r="C59" s="32">
        <v>0</v>
      </c>
      <c r="D59" s="32">
        <v>0</v>
      </c>
      <c r="E59" s="32">
        <v>0</v>
      </c>
      <c r="F59" s="32">
        <v>0</v>
      </c>
      <c r="G59" s="32">
        <v>0</v>
      </c>
      <c r="H59" s="32">
        <v>0</v>
      </c>
      <c r="I59" s="32">
        <v>0</v>
      </c>
      <c r="J59" s="32">
        <v>0</v>
      </c>
      <c r="K59" s="32">
        <v>0</v>
      </c>
      <c r="L59" s="32">
        <v>0</v>
      </c>
      <c r="M59" s="32">
        <v>0</v>
      </c>
      <c r="N59" s="32">
        <v>0</v>
      </c>
      <c r="O59" s="32">
        <v>0</v>
      </c>
      <c r="P59" s="32">
        <v>0</v>
      </c>
      <c r="Q59" s="32">
        <v>0</v>
      </c>
      <c r="R59" s="32">
        <v>0</v>
      </c>
      <c r="S59" s="33" t="s">
        <v>89</v>
      </c>
      <c r="T59" s="33" t="s">
        <v>89</v>
      </c>
      <c r="U59" s="32">
        <v>0</v>
      </c>
      <c r="V59" s="32">
        <v>73224</v>
      </c>
      <c r="W59" s="32">
        <v>0</v>
      </c>
      <c r="X59" s="32">
        <v>0</v>
      </c>
      <c r="Y59" s="32">
        <v>0</v>
      </c>
      <c r="Z59" s="32">
        <v>0</v>
      </c>
      <c r="AA59" s="32">
        <v>0</v>
      </c>
      <c r="AB59" s="32">
        <v>0</v>
      </c>
      <c r="AC59" s="32">
        <v>0</v>
      </c>
      <c r="AD59" s="32">
        <v>0</v>
      </c>
      <c r="AE59" s="63">
        <v>0</v>
      </c>
      <c r="AF59" s="32">
        <v>0</v>
      </c>
      <c r="AG59" s="32">
        <v>0</v>
      </c>
      <c r="AH59" s="32">
        <v>0</v>
      </c>
      <c r="AI59" s="32">
        <v>0</v>
      </c>
      <c r="AJ59" s="32">
        <v>0</v>
      </c>
      <c r="AK59" s="32">
        <v>0</v>
      </c>
      <c r="AL59" s="32">
        <v>0</v>
      </c>
      <c r="AM59" s="32">
        <v>0</v>
      </c>
      <c r="AN59" s="32">
        <v>0</v>
      </c>
      <c r="AO59" s="32">
        <v>0</v>
      </c>
      <c r="AP59" s="32">
        <v>0</v>
      </c>
      <c r="AQ59" s="32">
        <v>0</v>
      </c>
      <c r="AR59" s="32">
        <v>0</v>
      </c>
      <c r="AS59" s="32">
        <v>0</v>
      </c>
      <c r="AT59" s="32">
        <v>0</v>
      </c>
      <c r="AU59" s="32">
        <v>0</v>
      </c>
      <c r="AV59" s="32">
        <v>0</v>
      </c>
      <c r="AW59" s="32">
        <v>0</v>
      </c>
      <c r="AX59" s="32">
        <v>73224</v>
      </c>
    </row>
    <row r="60" spans="1:50" ht="13.8">
      <c r="A60" s="30" t="s">
        <v>19</v>
      </c>
      <c r="B60" s="30" t="s">
        <v>63</v>
      </c>
      <c r="C60" s="32">
        <v>97325556</v>
      </c>
      <c r="D60" s="32">
        <v>0</v>
      </c>
      <c r="E60" s="32">
        <v>0</v>
      </c>
      <c r="F60" s="32">
        <v>0</v>
      </c>
      <c r="G60" s="32">
        <v>0</v>
      </c>
      <c r="H60" s="32">
        <v>0</v>
      </c>
      <c r="I60" s="32">
        <v>0</v>
      </c>
      <c r="J60" s="32">
        <v>0</v>
      </c>
      <c r="K60" s="32">
        <v>0</v>
      </c>
      <c r="L60" s="32">
        <v>2175438</v>
      </c>
      <c r="M60" s="32">
        <v>0</v>
      </c>
      <c r="N60" s="32">
        <v>0</v>
      </c>
      <c r="O60" s="32">
        <v>0</v>
      </c>
      <c r="P60" s="32">
        <v>0</v>
      </c>
      <c r="Q60" s="32">
        <v>279898</v>
      </c>
      <c r="R60" s="32">
        <v>0</v>
      </c>
      <c r="S60" s="32">
        <v>0</v>
      </c>
      <c r="T60" s="32">
        <v>595087</v>
      </c>
      <c r="U60" s="32">
        <v>0</v>
      </c>
      <c r="V60" s="32">
        <v>0</v>
      </c>
      <c r="W60" s="32">
        <v>0</v>
      </c>
      <c r="X60" s="32">
        <v>0</v>
      </c>
      <c r="Y60" s="33" t="s">
        <v>89</v>
      </c>
      <c r="Z60" s="33" t="s">
        <v>89</v>
      </c>
      <c r="AA60" s="32">
        <v>0</v>
      </c>
      <c r="AB60" s="32">
        <v>0</v>
      </c>
      <c r="AC60" s="32">
        <v>0</v>
      </c>
      <c r="AD60" s="32">
        <v>0</v>
      </c>
      <c r="AE60" s="32">
        <v>0</v>
      </c>
      <c r="AF60" s="32">
        <v>2025502</v>
      </c>
      <c r="AG60" s="32">
        <v>0</v>
      </c>
      <c r="AH60" s="32">
        <v>0</v>
      </c>
      <c r="AI60" s="32">
        <v>0</v>
      </c>
      <c r="AJ60" s="32">
        <v>0</v>
      </c>
      <c r="AK60" s="32">
        <v>0</v>
      </c>
      <c r="AL60" s="32">
        <v>0</v>
      </c>
      <c r="AM60" s="32">
        <v>0</v>
      </c>
      <c r="AN60" s="32">
        <v>0</v>
      </c>
      <c r="AO60" s="32">
        <v>0</v>
      </c>
      <c r="AP60" s="32">
        <v>0</v>
      </c>
      <c r="AQ60" s="32">
        <v>0</v>
      </c>
      <c r="AR60" s="32">
        <v>0</v>
      </c>
      <c r="AS60" s="32">
        <v>0</v>
      </c>
      <c r="AT60" s="32">
        <v>0</v>
      </c>
      <c r="AU60" s="32">
        <v>0</v>
      </c>
      <c r="AV60" s="32">
        <v>0</v>
      </c>
      <c r="AW60" s="32">
        <v>0</v>
      </c>
      <c r="AX60" s="32">
        <v>102401481</v>
      </c>
    </row>
    <row r="61" spans="1:50" ht="13.8">
      <c r="A61" s="30" t="s">
        <v>27</v>
      </c>
      <c r="B61" s="30" t="s">
        <v>63</v>
      </c>
      <c r="C61" s="32">
        <v>0</v>
      </c>
      <c r="D61" s="32">
        <v>0</v>
      </c>
      <c r="E61" s="32">
        <v>0</v>
      </c>
      <c r="F61" s="32">
        <v>0</v>
      </c>
      <c r="G61" s="32">
        <v>0</v>
      </c>
      <c r="H61" s="32">
        <v>0</v>
      </c>
      <c r="I61" s="32">
        <v>0</v>
      </c>
      <c r="J61" s="32">
        <v>0</v>
      </c>
      <c r="K61" s="32">
        <v>0</v>
      </c>
      <c r="L61" s="32">
        <v>0</v>
      </c>
      <c r="M61" s="32">
        <v>0</v>
      </c>
      <c r="N61" s="32">
        <v>0</v>
      </c>
      <c r="O61" s="32">
        <v>0</v>
      </c>
      <c r="P61" s="32">
        <v>0</v>
      </c>
      <c r="Q61" s="32">
        <v>0</v>
      </c>
      <c r="R61" s="32">
        <v>0</v>
      </c>
      <c r="S61" s="32">
        <v>0</v>
      </c>
      <c r="T61" s="32">
        <v>0</v>
      </c>
      <c r="U61" s="32">
        <v>0</v>
      </c>
      <c r="V61" s="32">
        <v>0</v>
      </c>
      <c r="W61" s="32">
        <v>0</v>
      </c>
      <c r="X61" s="32">
        <v>0</v>
      </c>
      <c r="Y61" s="32">
        <v>0</v>
      </c>
      <c r="Z61" s="32">
        <v>0</v>
      </c>
      <c r="AA61" s="32">
        <v>0</v>
      </c>
      <c r="AB61" s="32">
        <v>0</v>
      </c>
      <c r="AC61" s="32">
        <v>0</v>
      </c>
      <c r="AD61" s="32">
        <v>0</v>
      </c>
      <c r="AE61" s="32">
        <v>0</v>
      </c>
      <c r="AF61" s="32">
        <v>0</v>
      </c>
      <c r="AG61" s="32">
        <v>0</v>
      </c>
      <c r="AH61" s="32">
        <v>0</v>
      </c>
      <c r="AI61" s="32">
        <v>0</v>
      </c>
      <c r="AJ61" s="32">
        <v>0</v>
      </c>
      <c r="AK61" s="32">
        <v>0</v>
      </c>
      <c r="AL61" s="32">
        <v>0</v>
      </c>
      <c r="AM61" s="32">
        <v>0</v>
      </c>
      <c r="AN61" s="32">
        <v>0</v>
      </c>
      <c r="AO61" s="32">
        <v>0</v>
      </c>
      <c r="AP61" s="32">
        <v>0</v>
      </c>
      <c r="AQ61" s="32">
        <v>0</v>
      </c>
      <c r="AR61" s="32">
        <v>0</v>
      </c>
      <c r="AS61" s="32">
        <v>0</v>
      </c>
      <c r="AT61" s="32">
        <v>171487335</v>
      </c>
      <c r="AU61" s="32">
        <v>0</v>
      </c>
      <c r="AV61" s="33" t="s">
        <v>89</v>
      </c>
      <c r="AW61" s="33" t="s">
        <v>89</v>
      </c>
      <c r="AX61" s="32">
        <v>171487335</v>
      </c>
    </row>
    <row r="62" spans="1:50" ht="13.8">
      <c r="A62" s="30" t="s">
        <v>28</v>
      </c>
      <c r="B62" s="30" t="s">
        <v>63</v>
      </c>
      <c r="C62" s="32">
        <v>18791</v>
      </c>
      <c r="D62" s="32">
        <v>0</v>
      </c>
      <c r="E62" s="32">
        <v>0</v>
      </c>
      <c r="F62" s="32">
        <v>0</v>
      </c>
      <c r="G62" s="32">
        <v>0</v>
      </c>
      <c r="H62" s="32">
        <v>0</v>
      </c>
      <c r="I62" s="32">
        <v>0</v>
      </c>
      <c r="J62" s="32">
        <v>0</v>
      </c>
      <c r="K62" s="32">
        <v>0</v>
      </c>
      <c r="L62" s="32">
        <v>0</v>
      </c>
      <c r="M62" s="32">
        <v>0</v>
      </c>
      <c r="N62" s="32">
        <v>0</v>
      </c>
      <c r="O62" s="32">
        <v>0</v>
      </c>
      <c r="P62" s="32">
        <v>0</v>
      </c>
      <c r="Q62" s="32">
        <v>0</v>
      </c>
      <c r="R62" s="32">
        <v>0</v>
      </c>
      <c r="S62" s="32">
        <v>0</v>
      </c>
      <c r="T62" s="32">
        <v>0</v>
      </c>
      <c r="U62" s="32">
        <v>0</v>
      </c>
      <c r="V62" s="32">
        <v>0</v>
      </c>
      <c r="W62" s="32">
        <v>0</v>
      </c>
      <c r="X62" s="32">
        <v>0</v>
      </c>
      <c r="Y62" s="32">
        <v>0</v>
      </c>
      <c r="Z62" s="32">
        <v>0</v>
      </c>
      <c r="AA62" s="32">
        <v>0</v>
      </c>
      <c r="AB62" s="32">
        <v>0</v>
      </c>
      <c r="AC62" s="33" t="s">
        <v>89</v>
      </c>
      <c r="AD62" s="33" t="s">
        <v>89</v>
      </c>
      <c r="AE62" s="32">
        <v>0</v>
      </c>
      <c r="AF62" s="32">
        <v>0</v>
      </c>
      <c r="AG62" s="32">
        <v>0</v>
      </c>
      <c r="AH62" s="32">
        <v>0</v>
      </c>
      <c r="AI62" s="32">
        <v>0</v>
      </c>
      <c r="AJ62" s="32">
        <v>0</v>
      </c>
      <c r="AK62" s="32">
        <v>0</v>
      </c>
      <c r="AL62" s="32">
        <v>0</v>
      </c>
      <c r="AM62" s="32">
        <v>0</v>
      </c>
      <c r="AN62" s="32">
        <v>0</v>
      </c>
      <c r="AO62" s="32">
        <v>0</v>
      </c>
      <c r="AP62" s="32">
        <v>0</v>
      </c>
      <c r="AQ62" s="32">
        <v>0</v>
      </c>
      <c r="AR62" s="32">
        <v>0</v>
      </c>
      <c r="AS62" s="32">
        <v>0</v>
      </c>
      <c r="AT62" s="32">
        <v>0</v>
      </c>
      <c r="AU62" s="32">
        <v>0</v>
      </c>
      <c r="AV62" s="32">
        <v>0</v>
      </c>
      <c r="AW62" s="32">
        <v>0</v>
      </c>
      <c r="AX62" s="32">
        <v>18791</v>
      </c>
    </row>
    <row r="63" spans="1:50" ht="13.8">
      <c r="A63" s="30" t="s">
        <v>30</v>
      </c>
      <c r="B63" s="30" t="s">
        <v>63</v>
      </c>
      <c r="C63" s="32">
        <v>6760</v>
      </c>
      <c r="D63" s="32">
        <v>0</v>
      </c>
      <c r="E63" s="32">
        <v>0</v>
      </c>
      <c r="F63" s="32">
        <v>0</v>
      </c>
      <c r="G63" s="32">
        <v>0</v>
      </c>
      <c r="H63" s="32">
        <v>0</v>
      </c>
      <c r="I63" s="32">
        <v>0</v>
      </c>
      <c r="J63" s="32">
        <v>0</v>
      </c>
      <c r="K63" s="32">
        <v>0</v>
      </c>
      <c r="L63" s="32">
        <v>0</v>
      </c>
      <c r="M63" s="32">
        <v>0</v>
      </c>
      <c r="N63" s="32">
        <v>0</v>
      </c>
      <c r="O63" s="32">
        <v>0</v>
      </c>
      <c r="P63" s="32">
        <v>0</v>
      </c>
      <c r="Q63" s="32">
        <v>0</v>
      </c>
      <c r="R63" s="32">
        <v>0</v>
      </c>
      <c r="S63" s="32">
        <v>51245921</v>
      </c>
      <c r="T63" s="32">
        <v>0</v>
      </c>
      <c r="U63" s="32">
        <v>57489</v>
      </c>
      <c r="V63" s="32">
        <v>0</v>
      </c>
      <c r="W63" s="32">
        <v>0</v>
      </c>
      <c r="X63" s="32">
        <v>0</v>
      </c>
      <c r="Y63" s="32">
        <v>0</v>
      </c>
      <c r="Z63" s="32">
        <v>0</v>
      </c>
      <c r="AA63" s="32">
        <v>0</v>
      </c>
      <c r="AB63" s="32">
        <v>0</v>
      </c>
      <c r="AC63" s="32">
        <v>0</v>
      </c>
      <c r="AD63" s="32">
        <v>469020</v>
      </c>
      <c r="AE63" s="33" t="s">
        <v>89</v>
      </c>
      <c r="AF63" s="33" t="s">
        <v>89</v>
      </c>
      <c r="AG63" s="32">
        <v>0</v>
      </c>
      <c r="AH63" s="32">
        <v>0</v>
      </c>
      <c r="AI63" s="32">
        <v>0</v>
      </c>
      <c r="AJ63" s="32">
        <v>0</v>
      </c>
      <c r="AK63" s="32">
        <v>0</v>
      </c>
      <c r="AL63" s="32">
        <v>0</v>
      </c>
      <c r="AM63" s="32">
        <v>0</v>
      </c>
      <c r="AN63" s="32">
        <v>0</v>
      </c>
      <c r="AO63" s="32">
        <v>0</v>
      </c>
      <c r="AP63" s="32">
        <v>0</v>
      </c>
      <c r="AQ63" s="32">
        <v>0</v>
      </c>
      <c r="AR63" s="32">
        <v>0</v>
      </c>
      <c r="AS63" s="32">
        <v>0</v>
      </c>
      <c r="AT63" s="32">
        <v>0</v>
      </c>
      <c r="AU63" s="32">
        <v>0</v>
      </c>
      <c r="AV63" s="32">
        <v>0</v>
      </c>
      <c r="AW63" s="32">
        <v>0</v>
      </c>
      <c r="AX63" s="32">
        <v>51779190</v>
      </c>
    </row>
    <row r="64" spans="1:50" ht="13.8">
      <c r="A64" s="30" t="s">
        <v>33</v>
      </c>
      <c r="B64" s="30" t="s">
        <v>63</v>
      </c>
      <c r="C64" s="32">
        <v>1611047</v>
      </c>
      <c r="D64" s="32">
        <v>0</v>
      </c>
      <c r="E64" s="32">
        <v>0</v>
      </c>
      <c r="F64" s="32">
        <v>0</v>
      </c>
      <c r="G64" s="32">
        <v>0</v>
      </c>
      <c r="H64" s="32">
        <v>0</v>
      </c>
      <c r="I64" s="32">
        <v>0</v>
      </c>
      <c r="J64" s="32">
        <v>0</v>
      </c>
      <c r="K64" s="32">
        <v>0</v>
      </c>
      <c r="L64" s="32">
        <v>0</v>
      </c>
      <c r="M64" s="32">
        <v>0</v>
      </c>
      <c r="N64" s="32">
        <v>0</v>
      </c>
      <c r="O64" s="32">
        <v>0</v>
      </c>
      <c r="P64" s="32">
        <v>0</v>
      </c>
      <c r="Q64" s="32">
        <v>0</v>
      </c>
      <c r="R64" s="32">
        <v>0</v>
      </c>
      <c r="S64" s="32">
        <v>0</v>
      </c>
      <c r="T64" s="32">
        <v>0</v>
      </c>
      <c r="U64" s="32">
        <v>0</v>
      </c>
      <c r="V64" s="32">
        <v>0</v>
      </c>
      <c r="W64" s="32">
        <v>0</v>
      </c>
      <c r="X64" s="32">
        <v>0</v>
      </c>
      <c r="Y64" s="32">
        <v>0</v>
      </c>
      <c r="Z64" s="32">
        <v>0</v>
      </c>
      <c r="AA64" s="32">
        <v>0</v>
      </c>
      <c r="AB64" s="32">
        <v>0</v>
      </c>
      <c r="AC64" s="32">
        <v>0</v>
      </c>
      <c r="AD64" s="32">
        <v>0</v>
      </c>
      <c r="AE64" s="32">
        <v>0</v>
      </c>
      <c r="AF64" s="32">
        <v>0</v>
      </c>
      <c r="AG64" s="32">
        <v>0</v>
      </c>
      <c r="AH64" s="32">
        <v>0</v>
      </c>
      <c r="AI64" s="33" t="s">
        <v>89</v>
      </c>
      <c r="AJ64" s="33" t="s">
        <v>89</v>
      </c>
      <c r="AK64" s="32">
        <v>0</v>
      </c>
      <c r="AL64" s="32">
        <v>0</v>
      </c>
      <c r="AM64" s="32">
        <v>0</v>
      </c>
      <c r="AN64" s="32">
        <v>0</v>
      </c>
      <c r="AO64" s="32">
        <v>0</v>
      </c>
      <c r="AP64" s="32">
        <v>0</v>
      </c>
      <c r="AQ64" s="32">
        <v>0</v>
      </c>
      <c r="AR64" s="32">
        <v>0</v>
      </c>
      <c r="AS64" s="32">
        <v>0</v>
      </c>
      <c r="AT64" s="32">
        <v>0</v>
      </c>
      <c r="AU64" s="32">
        <v>0</v>
      </c>
      <c r="AV64" s="32">
        <v>0</v>
      </c>
      <c r="AW64" s="32">
        <v>0</v>
      </c>
      <c r="AX64" s="32">
        <v>1611047</v>
      </c>
    </row>
    <row r="65" spans="1:50" ht="13.8">
      <c r="A65" s="30" t="s">
        <v>17</v>
      </c>
      <c r="B65" s="30" t="s">
        <v>63</v>
      </c>
      <c r="C65" s="32">
        <v>2882489</v>
      </c>
      <c r="D65" s="32">
        <v>0</v>
      </c>
      <c r="E65" s="32">
        <v>0</v>
      </c>
      <c r="F65" s="32">
        <v>0</v>
      </c>
      <c r="G65" s="32">
        <v>0</v>
      </c>
      <c r="H65" s="32">
        <v>0</v>
      </c>
      <c r="I65" s="32">
        <v>0</v>
      </c>
      <c r="J65" s="32">
        <v>0</v>
      </c>
      <c r="K65" s="32">
        <v>0</v>
      </c>
      <c r="L65" s="32">
        <v>0</v>
      </c>
      <c r="M65" s="32">
        <v>0</v>
      </c>
      <c r="N65" s="32">
        <v>0</v>
      </c>
      <c r="O65" s="32">
        <v>0</v>
      </c>
      <c r="P65" s="32">
        <v>0</v>
      </c>
      <c r="Q65" s="32">
        <v>0</v>
      </c>
      <c r="R65" s="32">
        <v>0</v>
      </c>
      <c r="S65" s="32">
        <v>0</v>
      </c>
      <c r="T65" s="63">
        <v>0</v>
      </c>
      <c r="U65" s="33" t="s">
        <v>89</v>
      </c>
      <c r="V65" s="33" t="s">
        <v>89</v>
      </c>
      <c r="W65" s="32">
        <v>0</v>
      </c>
      <c r="X65" s="32">
        <v>0</v>
      </c>
      <c r="Y65" s="32">
        <v>0</v>
      </c>
      <c r="Z65" s="32">
        <v>0</v>
      </c>
      <c r="AA65" s="32">
        <v>0</v>
      </c>
      <c r="AB65" s="32">
        <v>0</v>
      </c>
      <c r="AC65" s="32">
        <v>0</v>
      </c>
      <c r="AD65" s="32">
        <v>0</v>
      </c>
      <c r="AE65" s="63">
        <v>0</v>
      </c>
      <c r="AF65" s="32">
        <v>0</v>
      </c>
      <c r="AG65" s="32">
        <v>0</v>
      </c>
      <c r="AH65" s="32">
        <v>0</v>
      </c>
      <c r="AI65" s="32">
        <v>0</v>
      </c>
      <c r="AJ65" s="32">
        <v>0</v>
      </c>
      <c r="AK65" s="32">
        <v>0</v>
      </c>
      <c r="AL65" s="32">
        <v>0</v>
      </c>
      <c r="AM65" s="32">
        <v>0</v>
      </c>
      <c r="AN65" s="32">
        <v>0</v>
      </c>
      <c r="AO65" s="32">
        <v>0</v>
      </c>
      <c r="AP65" s="32">
        <v>0</v>
      </c>
      <c r="AQ65" s="32">
        <v>0</v>
      </c>
      <c r="AR65" s="32">
        <v>0</v>
      </c>
      <c r="AS65" s="32">
        <v>0</v>
      </c>
      <c r="AT65" s="32">
        <v>0</v>
      </c>
      <c r="AU65" s="32">
        <v>0</v>
      </c>
      <c r="AV65" s="32">
        <v>0</v>
      </c>
      <c r="AW65" s="32">
        <v>0</v>
      </c>
      <c r="AX65" s="32">
        <v>2882489</v>
      </c>
    </row>
    <row r="66" spans="1:50" ht="13.8">
      <c r="A66" s="30" t="s">
        <v>18</v>
      </c>
      <c r="B66" s="30" t="s">
        <v>63</v>
      </c>
      <c r="C66" s="32">
        <v>7309371</v>
      </c>
      <c r="D66" s="32">
        <v>0</v>
      </c>
      <c r="E66" s="32">
        <v>0</v>
      </c>
      <c r="F66" s="32">
        <v>0</v>
      </c>
      <c r="G66" s="32">
        <v>0</v>
      </c>
      <c r="H66" s="32">
        <v>0</v>
      </c>
      <c r="I66" s="32">
        <v>0</v>
      </c>
      <c r="J66" s="32">
        <v>0</v>
      </c>
      <c r="K66" s="32">
        <v>0</v>
      </c>
      <c r="L66" s="32">
        <v>0</v>
      </c>
      <c r="M66" s="32">
        <v>0</v>
      </c>
      <c r="N66" s="32">
        <v>0</v>
      </c>
      <c r="O66" s="32">
        <v>0</v>
      </c>
      <c r="P66" s="32">
        <v>0</v>
      </c>
      <c r="Q66" s="32">
        <v>0</v>
      </c>
      <c r="R66" s="32">
        <v>0</v>
      </c>
      <c r="S66" s="32">
        <v>0</v>
      </c>
      <c r="T66" s="32">
        <v>0</v>
      </c>
      <c r="U66" s="32">
        <v>0</v>
      </c>
      <c r="V66" s="32">
        <v>293090</v>
      </c>
      <c r="W66" s="33" t="s">
        <v>89</v>
      </c>
      <c r="X66" s="33" t="s">
        <v>89</v>
      </c>
      <c r="Y66" s="32">
        <v>0</v>
      </c>
      <c r="Z66" s="32">
        <v>0</v>
      </c>
      <c r="AA66" s="32">
        <v>0</v>
      </c>
      <c r="AB66" s="32">
        <v>0</v>
      </c>
      <c r="AC66" s="32">
        <v>0</v>
      </c>
      <c r="AD66" s="32">
        <v>0</v>
      </c>
      <c r="AE66" s="32">
        <v>2800</v>
      </c>
      <c r="AF66" s="32">
        <v>0</v>
      </c>
      <c r="AG66" s="32">
        <v>0</v>
      </c>
      <c r="AH66" s="32">
        <v>0</v>
      </c>
      <c r="AI66" s="32">
        <v>0</v>
      </c>
      <c r="AJ66" s="32">
        <v>0</v>
      </c>
      <c r="AK66" s="32">
        <v>0</v>
      </c>
      <c r="AL66" s="32">
        <v>0</v>
      </c>
      <c r="AM66" s="32">
        <v>0</v>
      </c>
      <c r="AN66" s="32">
        <v>0</v>
      </c>
      <c r="AO66" s="32">
        <v>0</v>
      </c>
      <c r="AP66" s="32">
        <v>0</v>
      </c>
      <c r="AQ66" s="32">
        <v>0</v>
      </c>
      <c r="AR66" s="32">
        <v>0</v>
      </c>
      <c r="AS66" s="32">
        <v>0</v>
      </c>
      <c r="AT66" s="32">
        <v>0</v>
      </c>
      <c r="AU66" s="32">
        <v>0</v>
      </c>
      <c r="AV66" s="32">
        <v>0</v>
      </c>
      <c r="AW66" s="32">
        <v>0</v>
      </c>
      <c r="AX66" s="32">
        <v>7605261</v>
      </c>
    </row>
    <row r="67" spans="1:50" ht="13.8">
      <c r="A67" s="30" t="s">
        <v>34</v>
      </c>
      <c r="B67" s="30" t="s">
        <v>63</v>
      </c>
      <c r="C67" s="32">
        <v>1460466</v>
      </c>
      <c r="D67" s="32">
        <v>0</v>
      </c>
      <c r="E67" s="32">
        <v>0</v>
      </c>
      <c r="F67" s="32">
        <v>0</v>
      </c>
      <c r="G67" s="32">
        <v>0</v>
      </c>
      <c r="H67" s="32">
        <v>0</v>
      </c>
      <c r="I67" s="32">
        <v>0</v>
      </c>
      <c r="J67" s="32">
        <v>0</v>
      </c>
      <c r="K67" s="32">
        <v>0</v>
      </c>
      <c r="L67" s="32">
        <v>0</v>
      </c>
      <c r="M67" s="32">
        <v>0</v>
      </c>
      <c r="N67" s="32">
        <v>0</v>
      </c>
      <c r="O67" s="32">
        <v>0</v>
      </c>
      <c r="P67" s="32">
        <v>0</v>
      </c>
      <c r="Q67" s="32">
        <v>0</v>
      </c>
      <c r="R67" s="32">
        <v>0</v>
      </c>
      <c r="S67" s="32">
        <v>0</v>
      </c>
      <c r="T67" s="32">
        <v>0</v>
      </c>
      <c r="U67" s="32">
        <v>0</v>
      </c>
      <c r="V67" s="32">
        <v>0</v>
      </c>
      <c r="W67" s="32">
        <v>0</v>
      </c>
      <c r="X67" s="32">
        <v>0</v>
      </c>
      <c r="Y67" s="32">
        <v>0</v>
      </c>
      <c r="Z67" s="32">
        <v>0</v>
      </c>
      <c r="AA67" s="32">
        <v>0</v>
      </c>
      <c r="AB67" s="32">
        <v>0</v>
      </c>
      <c r="AC67" s="32">
        <v>0</v>
      </c>
      <c r="AD67" s="32">
        <v>0</v>
      </c>
      <c r="AE67" s="32">
        <v>0</v>
      </c>
      <c r="AF67" s="32">
        <v>0</v>
      </c>
      <c r="AG67" s="32">
        <v>0</v>
      </c>
      <c r="AH67" s="32">
        <v>0</v>
      </c>
      <c r="AI67" s="32">
        <v>0</v>
      </c>
      <c r="AJ67" s="32">
        <v>0</v>
      </c>
      <c r="AK67" s="33" t="s">
        <v>89</v>
      </c>
      <c r="AL67" s="32">
        <v>0</v>
      </c>
      <c r="AM67" s="32">
        <v>0</v>
      </c>
      <c r="AN67" s="32">
        <v>0</v>
      </c>
      <c r="AO67" s="32">
        <v>0</v>
      </c>
      <c r="AP67" s="32">
        <v>0</v>
      </c>
      <c r="AQ67" s="32">
        <v>0</v>
      </c>
      <c r="AR67" s="32">
        <v>0</v>
      </c>
      <c r="AS67" s="32">
        <v>0</v>
      </c>
      <c r="AT67" s="32">
        <v>0</v>
      </c>
      <c r="AU67" s="32">
        <v>0</v>
      </c>
      <c r="AV67" s="32">
        <v>0</v>
      </c>
      <c r="AW67" s="32">
        <v>0</v>
      </c>
      <c r="AX67" s="32">
        <v>1460466</v>
      </c>
    </row>
    <row r="68" spans="1:50" ht="13.8">
      <c r="A68" s="30" t="s">
        <v>38</v>
      </c>
      <c r="B68" s="30" t="s">
        <v>63</v>
      </c>
      <c r="C68" s="32">
        <v>0</v>
      </c>
      <c r="D68" s="32">
        <v>0</v>
      </c>
      <c r="E68" s="32">
        <v>0</v>
      </c>
      <c r="F68" s="32">
        <v>0</v>
      </c>
      <c r="G68" s="32">
        <v>0</v>
      </c>
      <c r="H68" s="32">
        <v>401120</v>
      </c>
      <c r="I68" s="32">
        <v>0</v>
      </c>
      <c r="J68" s="32">
        <v>0</v>
      </c>
      <c r="K68" s="32">
        <v>0</v>
      </c>
      <c r="L68" s="32">
        <v>0</v>
      </c>
      <c r="M68" s="32">
        <v>0</v>
      </c>
      <c r="N68" s="32">
        <v>0</v>
      </c>
      <c r="O68" s="32">
        <v>0</v>
      </c>
      <c r="P68" s="32">
        <v>0</v>
      </c>
      <c r="Q68" s="32">
        <v>0</v>
      </c>
      <c r="R68" s="32">
        <v>0</v>
      </c>
      <c r="S68" s="32">
        <v>0</v>
      </c>
      <c r="T68" s="32">
        <v>0</v>
      </c>
      <c r="U68" s="32">
        <v>0</v>
      </c>
      <c r="V68" s="32">
        <v>0</v>
      </c>
      <c r="W68" s="32">
        <v>0</v>
      </c>
      <c r="X68" s="32">
        <v>0</v>
      </c>
      <c r="Y68" s="32">
        <v>0</v>
      </c>
      <c r="Z68" s="32">
        <v>0</v>
      </c>
      <c r="AA68" s="32">
        <v>0</v>
      </c>
      <c r="AB68" s="32">
        <v>0</v>
      </c>
      <c r="AC68" s="32">
        <v>0</v>
      </c>
      <c r="AD68" s="32">
        <v>0</v>
      </c>
      <c r="AE68" s="32">
        <v>0</v>
      </c>
      <c r="AF68" s="32">
        <v>0</v>
      </c>
      <c r="AG68" s="32">
        <v>0</v>
      </c>
      <c r="AH68" s="32">
        <v>0</v>
      </c>
      <c r="AI68" s="32">
        <v>0</v>
      </c>
      <c r="AJ68" s="32">
        <v>0</v>
      </c>
      <c r="AK68" s="32">
        <v>0</v>
      </c>
      <c r="AL68" s="32">
        <v>0</v>
      </c>
      <c r="AM68" s="32">
        <v>0</v>
      </c>
      <c r="AN68" s="32">
        <v>0</v>
      </c>
      <c r="AO68" s="32">
        <v>14907917</v>
      </c>
      <c r="AP68" s="32">
        <v>0</v>
      </c>
      <c r="AQ68" s="33" t="s">
        <v>89</v>
      </c>
      <c r="AR68" s="32">
        <v>0</v>
      </c>
      <c r="AS68" s="32">
        <v>0</v>
      </c>
      <c r="AT68" s="32">
        <v>0</v>
      </c>
      <c r="AU68" s="32">
        <v>0</v>
      </c>
      <c r="AV68" s="32">
        <v>0</v>
      </c>
      <c r="AW68" s="32">
        <v>0</v>
      </c>
      <c r="AX68" s="32">
        <v>15309037</v>
      </c>
    </row>
    <row r="69" spans="1:50" ht="13.8">
      <c r="A69" s="30" t="s">
        <v>39</v>
      </c>
      <c r="B69" s="30" t="s">
        <v>63</v>
      </c>
      <c r="C69" s="32">
        <v>0</v>
      </c>
      <c r="D69" s="32">
        <v>0</v>
      </c>
      <c r="E69" s="32">
        <v>0</v>
      </c>
      <c r="F69" s="32">
        <v>0</v>
      </c>
      <c r="G69" s="32">
        <v>0</v>
      </c>
      <c r="H69" s="32">
        <v>0</v>
      </c>
      <c r="I69" s="32">
        <v>0</v>
      </c>
      <c r="J69" s="32">
        <v>0</v>
      </c>
      <c r="K69" s="32">
        <v>0</v>
      </c>
      <c r="L69" s="32">
        <v>0</v>
      </c>
      <c r="M69" s="32">
        <v>0</v>
      </c>
      <c r="N69" s="32">
        <v>0</v>
      </c>
      <c r="O69" s="32">
        <v>0</v>
      </c>
      <c r="P69" s="32">
        <v>0</v>
      </c>
      <c r="Q69" s="32">
        <v>0</v>
      </c>
      <c r="R69" s="32">
        <v>0</v>
      </c>
      <c r="S69" s="32">
        <v>0</v>
      </c>
      <c r="T69" s="32">
        <v>0</v>
      </c>
      <c r="U69" s="32">
        <v>0</v>
      </c>
      <c r="V69" s="32">
        <v>0</v>
      </c>
      <c r="W69" s="32">
        <v>0</v>
      </c>
      <c r="X69" s="32">
        <v>0</v>
      </c>
      <c r="Y69" s="32">
        <v>0</v>
      </c>
      <c r="Z69" s="32">
        <v>0</v>
      </c>
      <c r="AA69" s="32">
        <v>0</v>
      </c>
      <c r="AB69" s="32">
        <v>0</v>
      </c>
      <c r="AC69" s="32">
        <v>0</v>
      </c>
      <c r="AD69" s="32">
        <v>0</v>
      </c>
      <c r="AE69" s="32">
        <v>0</v>
      </c>
      <c r="AF69" s="32">
        <v>0</v>
      </c>
      <c r="AG69" s="32">
        <v>0</v>
      </c>
      <c r="AH69" s="32">
        <v>0</v>
      </c>
      <c r="AI69" s="32">
        <v>0</v>
      </c>
      <c r="AJ69" s="32">
        <v>0</v>
      </c>
      <c r="AK69" s="32">
        <v>0</v>
      </c>
      <c r="AL69" s="32">
        <v>0</v>
      </c>
      <c r="AM69" s="32">
        <v>0</v>
      </c>
      <c r="AN69" s="32">
        <v>0</v>
      </c>
      <c r="AO69" s="32">
        <v>23619480</v>
      </c>
      <c r="AP69" s="32">
        <v>0</v>
      </c>
      <c r="AQ69" s="32">
        <v>0</v>
      </c>
      <c r="AR69" s="33" t="s">
        <v>89</v>
      </c>
      <c r="AS69" s="32">
        <v>0</v>
      </c>
      <c r="AT69" s="32">
        <v>0</v>
      </c>
      <c r="AU69" s="32">
        <v>0</v>
      </c>
      <c r="AV69" s="32">
        <v>0</v>
      </c>
      <c r="AW69" s="32">
        <v>0</v>
      </c>
      <c r="AX69" s="32">
        <v>23619480</v>
      </c>
    </row>
  </sheetData>
  <sheetProtection sheet="1" scenarios="1" formatCells="0" formatColumns="0" formatRows="0"/>
  <pageMargins left="0.75" right="0.75" top="1" bottom="1" header="0.5" footer="0.5"/>
  <pageSetup paperSize="9" orientation="portrait" horizontalDpi="300" verticalDpi="300" copies="0" r:id="rId1"/>
  <headerFooter alignWithMargins="0"/>
  <customProperties>
    <customPr name="CellIDs" r:id="rId2"/>
    <customPr name="ConnName" r:id="rId3"/>
    <customPr name="ConnPOV" r:id="rId4"/>
    <customPr name="FormFolder" r:id="rId5"/>
    <customPr name="FormName" r:id="rId6"/>
    <customPr name="FormSize" r:id="rId7"/>
    <customPr name="HyperionPOVXML" r:id="rId8"/>
    <customPr name="HyperionXML" r:id="rId9"/>
    <customPr name="NameConnectionMap" r:id="rId10"/>
    <customPr name="POVPosition" r:id="rId11"/>
    <customPr name="SheetHasParityContent" r:id="rId12"/>
    <customPr name="SheetOptions" r:id="rId13"/>
    <customPr name="ShowPOV" r:id="rId14"/>
  </customPropertie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命名范围</vt:lpstr>
      </vt:variant>
      <vt:variant>
        <vt:i4>10</vt:i4>
      </vt:variant>
    </vt:vector>
  </HeadingPairs>
  <TitlesOfParts>
    <vt:vector size="16" baseType="lpstr">
      <vt:lpstr>目錄</vt:lpstr>
      <vt:lpstr>AR_Aging</vt:lpstr>
      <vt:lpstr>AR_Top 5</vt:lpstr>
      <vt:lpstr>AR_By Group</vt:lpstr>
      <vt:lpstr>AR_Consol</vt:lpstr>
      <vt:lpstr>關係人沖銷金額_本位幣</vt:lpstr>
      <vt:lpstr>conn</vt:lpstr>
      <vt:lpstr>PlugAccount</vt:lpstr>
      <vt:lpstr>USD換算成NTD的平均匯率</vt:lpstr>
      <vt:lpstr>USD換算成NTD的期末匯率</vt:lpstr>
      <vt:lpstr>大表科目本位幣調整AJE</vt:lpstr>
      <vt:lpstr>大表科目本位幣調整后</vt:lpstr>
      <vt:lpstr>大表科目本位幣調整前</vt:lpstr>
      <vt:lpstr>關係人按交易幣種分類本位幣金額</vt:lpstr>
      <vt:lpstr>換算成USD的平均匯率</vt:lpstr>
      <vt:lpstr>換算成USD的期末匯率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2019-05-09T07:38:37Z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  <property fmtid="{D5CDD505-2E9C-101B-9397-08002B2CF9AE}" pid="3" name="SV_HIDDEN_GRID_QUERY_LIST_4F35BF76-6C0D-4D9B-82B2-816C12CF3733">
    <vt:lpwstr>empty_477D106A-C0D6-4607-AEBD-E2C9D60EA279</vt:lpwstr>
  </property>
</Properties>
</file>