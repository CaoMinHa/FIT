
<file path=[Content_Types].xml><?xml version="1.0" encoding="utf-8"?>
<Types xmlns="http://schemas.openxmlformats.org/package/2006/content-types">
  <Default Extension="bin" ContentType="application/vnd.openxmlformats-officedocument.spreadsheetml.customProperty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printerSettings/printerSettings1.bin" ContentType="application/vnd.openxmlformats-officedocument.spreadsheetml.printerSettings"/>
  <Override PartName="/xl/printerSettings/printerSettings2.bin" ContentType="application/vnd.openxmlformats-officedocument.spreadsheetml.printerSettings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filterPrivacy="1" codeName="ThisWorkbook" defaultThemeVersion="164011"/>
  <bookViews>
    <workbookView xWindow="0" yWindow="0" windowWidth="22260" windowHeight="12648" tabRatio="870"/>
  </bookViews>
  <sheets>
    <sheet name="目錄" sheetId="2" r:id="rId1"/>
    <sheet name="AP_Aging" sheetId="12" r:id="rId2"/>
    <sheet name="AP_Top 5" sheetId="10" r:id="rId3"/>
    <sheet name="AP_By Group" sheetId="11" r:id="rId4"/>
    <sheet name="AP_Breakdown" sheetId="13" r:id="rId5"/>
    <sheet name="關係人沖銷金額_本位幣" sheetId="38" state="hidden" r:id="rId6"/>
  </sheets>
  <functionGroups builtInGroupCount="18"/>
  <externalReferences>
    <externalReference r:id="rId7"/>
  </externalReferences>
  <definedNames>
    <definedName name="_xlnm._FilterDatabase" localSheetId="1" hidden="1">AP_Aging!$A$1:$Z$1</definedName>
    <definedName name="conn">目錄!$B$3</definedName>
    <definedName name="PlugAccount">目錄!$K$10</definedName>
    <definedName name="USD換算成NTD的平均匯率">目錄!$K$9</definedName>
    <definedName name="USD換算成NTD的期末匯率">目錄!$K$8</definedName>
    <definedName name="大表科目本位幣調整AJE">目錄!$K$3</definedName>
    <definedName name="大表科目本位幣調整后">目錄!$K$4</definedName>
    <definedName name="大表科目本位幣調整前">目錄!$K$2</definedName>
    <definedName name="關係人按交易幣種分類本位幣金額">目錄!$K$5</definedName>
    <definedName name="換算成USD的平均匯率">目錄!$K$7</definedName>
    <definedName name="換算成USD的期末匯率">目錄!$K$6</definedName>
  </definedNames>
  <calcPr calcId="162913" calcOnSave="0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K5" i="2" l="1"/>
  <c r="C17" i="13" l="1" a="1"/>
  <c r="C17" i="13" s="1"/>
  <c r="D17" i="13" a="1"/>
  <c r="D17" i="13" s="1"/>
  <c r="C18" i="13" a="1"/>
  <c r="C18" i="13" s="1"/>
  <c r="D18" i="13" a="1"/>
  <c r="D18" i="13" s="1"/>
  <c r="C26" i="13"/>
  <c r="C59" i="13"/>
  <c r="D59" i="13"/>
  <c r="C19" i="13" l="1"/>
  <c r="D19" i="13"/>
  <c r="C81" i="13"/>
  <c r="D81" i="13"/>
  <c r="C68" i="13"/>
  <c r="D68" i="13"/>
  <c r="C69" i="13"/>
  <c r="D69" i="13"/>
  <c r="C70" i="13"/>
  <c r="D70" i="13"/>
  <c r="C71" i="13"/>
  <c r="D71" i="13"/>
  <c r="C72" i="13"/>
  <c r="D72" i="13"/>
  <c r="C73" i="13"/>
  <c r="D73" i="13"/>
  <c r="C74" i="13"/>
  <c r="D74" i="13"/>
  <c r="C62" i="13"/>
  <c r="D62" i="13"/>
  <c r="C63" i="13"/>
  <c r="D63" i="13"/>
  <c r="C65" i="13"/>
  <c r="D65" i="13"/>
  <c r="D64" i="13" l="1"/>
  <c r="C64" i="13"/>
  <c r="D75" i="13"/>
  <c r="C75" i="13"/>
  <c r="C76" i="13" s="1"/>
  <c r="AR2" i="13"/>
  <c r="K7" i="2" l="1"/>
  <c r="K8" i="2"/>
  <c r="K9" i="2"/>
  <c r="K10" i="2"/>
  <c r="D26" i="13"/>
  <c r="E72" i="13" l="1"/>
  <c r="F72" i="13" s="1"/>
  <c r="E68" i="13"/>
  <c r="F68" i="13" s="1"/>
  <c r="E62" i="13"/>
  <c r="F62" i="13" s="1"/>
  <c r="E73" i="13"/>
  <c r="F73" i="13" s="1"/>
  <c r="E69" i="13"/>
  <c r="F69" i="13" s="1"/>
  <c r="E81" i="13"/>
  <c r="F81" i="13" s="1"/>
  <c r="E75" i="13"/>
  <c r="F75" i="13" s="1"/>
  <c r="E71" i="13"/>
  <c r="F71" i="13" s="1"/>
  <c r="E63" i="13"/>
  <c r="F63" i="13" s="1"/>
  <c r="E74" i="13"/>
  <c r="F74" i="13" s="1"/>
  <c r="E70" i="13"/>
  <c r="F70" i="13" s="1"/>
  <c r="E64" i="13"/>
  <c r="F64" i="13" s="1"/>
  <c r="E65" i="13"/>
  <c r="F65" i="13" s="1"/>
  <c r="C48" i="13"/>
  <c r="D48" i="13"/>
  <c r="C49" i="13"/>
  <c r="D49" i="13"/>
  <c r="C50" i="13"/>
  <c r="D50" i="13"/>
  <c r="C51" i="13"/>
  <c r="D51" i="13"/>
  <c r="C52" i="13"/>
  <c r="D52" i="13"/>
  <c r="C53" i="13"/>
  <c r="D53" i="13"/>
  <c r="C54" i="13"/>
  <c r="D54" i="13"/>
  <c r="C41" i="13"/>
  <c r="D41" i="13"/>
  <c r="C42" i="13"/>
  <c r="D42" i="13"/>
  <c r="C43" i="13"/>
  <c r="D43" i="13"/>
  <c r="C45" i="13"/>
  <c r="D45" i="13"/>
  <c r="C36" i="13"/>
  <c r="C78" i="13" s="1"/>
  <c r="D36" i="13"/>
  <c r="D78" i="13" s="1"/>
  <c r="C37" i="13"/>
  <c r="C80" i="13" s="1"/>
  <c r="D37" i="13"/>
  <c r="D80" i="13" s="1"/>
  <c r="D79" i="13" s="1"/>
  <c r="C2" i="13"/>
  <c r="D2" i="13"/>
  <c r="E78" i="13" l="1"/>
  <c r="F78" i="13" s="1"/>
  <c r="E80" i="13"/>
  <c r="F80" i="13" s="1"/>
  <c r="AS45" i="13"/>
  <c r="AS42" i="13"/>
  <c r="AU42" i="13" s="1"/>
  <c r="AS54" i="13"/>
  <c r="AS52" i="13"/>
  <c r="AS50" i="13"/>
  <c r="AS48" i="13"/>
  <c r="D82" i="13"/>
  <c r="AS43" i="13"/>
  <c r="AU43" i="13" s="1"/>
  <c r="AS41" i="13"/>
  <c r="AU41" i="13" s="1"/>
  <c r="AS53" i="13"/>
  <c r="AS51" i="13"/>
  <c r="AS49" i="13"/>
  <c r="C79" i="13"/>
  <c r="E79" i="13" s="1"/>
  <c r="F79" i="13" s="1"/>
  <c r="D38" i="13"/>
  <c r="AU36" i="13"/>
  <c r="AU37" i="13"/>
  <c r="D44" i="13"/>
  <c r="C44" i="13"/>
  <c r="C38" i="13"/>
  <c r="C55" i="13"/>
  <c r="D55" i="13"/>
  <c r="AS44" i="13" l="1"/>
  <c r="AU44" i="13" s="1"/>
  <c r="AS55" i="13"/>
  <c r="C82" i="13"/>
  <c r="E82" i="13" s="1"/>
  <c r="F82" i="13" s="1"/>
  <c r="K4" i="2" l="1"/>
  <c r="AU33" i="13"/>
  <c r="AV41" i="13" l="1"/>
  <c r="AV43" i="13"/>
  <c r="AV42" i="13"/>
  <c r="AV44" i="13" l="1"/>
  <c r="K6" i="2" l="1"/>
  <c r="AV37" i="13"/>
  <c r="AU38" i="13" l="1"/>
  <c r="AV38" i="13" s="1"/>
  <c r="AV36" i="13"/>
  <c r="K3" i="2" l="1"/>
  <c r="K2" i="2"/>
  <c r="AI2" i="13"/>
  <c r="D13" i="13"/>
  <c r="Q2" i="13"/>
  <c r="AB2" i="13"/>
  <c r="D12" i="13"/>
  <c r="AG2" i="13"/>
  <c r="AM2" i="13"/>
  <c r="AO2" i="13"/>
  <c r="N2" i="13"/>
  <c r="I2" i="13"/>
  <c r="D14" i="13"/>
  <c r="E2" i="13"/>
  <c r="F2" i="13"/>
  <c r="C13" i="13"/>
  <c r="K2" i="13"/>
  <c r="AJ2" i="13"/>
  <c r="AE2" i="13"/>
  <c r="Y2" i="13"/>
  <c r="W2" i="13"/>
  <c r="Z2" i="13"/>
  <c r="AT45" i="13"/>
  <c r="R2" i="13"/>
  <c r="D5" i="13"/>
  <c r="D6" i="13"/>
  <c r="C12" i="13"/>
  <c r="D7" i="13"/>
  <c r="L2" i="13"/>
  <c r="AH2" i="13"/>
  <c r="S2" i="13"/>
  <c r="AN2" i="13"/>
  <c r="V2" i="13"/>
  <c r="O2" i="13"/>
  <c r="P2" i="13"/>
  <c r="AQ2" i="13"/>
  <c r="D11" i="13"/>
  <c r="AD2" i="13"/>
  <c r="AP2" i="13"/>
  <c r="C14" i="13"/>
  <c r="AT55" i="13"/>
  <c r="AC2" i="13"/>
  <c r="C7" i="13"/>
  <c r="C6" i="13"/>
  <c r="U2" i="13"/>
  <c r="H2" i="13"/>
  <c r="T2" i="13"/>
  <c r="C8" i="13"/>
  <c r="AF2" i="13"/>
  <c r="M2" i="13"/>
  <c r="J2" i="13"/>
  <c r="C5" i="13"/>
  <c r="AL2" i="13"/>
  <c r="C11" i="13"/>
  <c r="D8" i="13"/>
  <c r="AK2" i="13"/>
  <c r="G2" i="13"/>
  <c r="X2" i="13"/>
  <c r="AA2" i="13"/>
  <c r="AT32" i="13"/>
  <c r="C9" i="13" l="1"/>
  <c r="C66" i="13" s="1"/>
  <c r="D9" i="13"/>
  <c r="D66" i="13" s="1"/>
  <c r="C15" i="13"/>
  <c r="D15" i="13"/>
  <c r="C22" i="13"/>
  <c r="C24" i="13"/>
  <c r="C31" i="13" s="1"/>
  <c r="D22" i="13"/>
  <c r="D24" i="13"/>
  <c r="D31" i="13" s="1"/>
  <c r="C21" i="13"/>
  <c r="C23" i="13"/>
  <c r="C30" i="13" s="1"/>
  <c r="D21" i="13"/>
  <c r="D23" i="13"/>
  <c r="D30" i="13" s="1"/>
  <c r="AU45" i="13"/>
  <c r="AU55" i="13"/>
  <c r="D29" i="13" l="1"/>
  <c r="D25" i="13"/>
  <c r="C29" i="13"/>
  <c r="C25" i="13"/>
  <c r="AS31" i="13"/>
  <c r="AS30" i="13"/>
  <c r="D76" i="13"/>
  <c r="D83" i="13"/>
  <c r="C28" i="13"/>
  <c r="D28" i="13"/>
  <c r="C83" i="13"/>
  <c r="AV45" i="13"/>
  <c r="AU46" i="13"/>
  <c r="AU56" i="13"/>
  <c r="AV55" i="13"/>
  <c r="D32" i="13" l="1"/>
  <c r="C32" i="13"/>
  <c r="AS32" i="13" s="1"/>
  <c r="AU32" i="13" s="1"/>
  <c r="AS29" i="13"/>
  <c r="AS28" i="13"/>
  <c r="AV32" i="13" l="1"/>
  <c r="AU34" i="13"/>
</calcChain>
</file>

<file path=xl/sharedStrings.xml><?xml version="1.0" encoding="utf-8"?>
<sst xmlns="http://schemas.openxmlformats.org/spreadsheetml/2006/main" count="278" uniqueCount="168">
  <si>
    <t>基本信息</t>
  </si>
  <si>
    <t>年份</t>
  </si>
  <si>
    <t>月份</t>
  </si>
  <si>
    <t>No.</t>
  </si>
  <si>
    <t>公司編碼</t>
  </si>
  <si>
    <t>公司名稱</t>
  </si>
  <si>
    <t>E60491</t>
  </si>
  <si>
    <t>E60461</t>
  </si>
  <si>
    <t>E60528</t>
  </si>
  <si>
    <t>E60567</t>
  </si>
  <si>
    <t>E60095</t>
  </si>
  <si>
    <t>E80008</t>
  </si>
  <si>
    <t>E60067</t>
  </si>
  <si>
    <t>E60068</t>
  </si>
  <si>
    <t>E60069</t>
  </si>
  <si>
    <t>E60064</t>
  </si>
  <si>
    <t>E60252</t>
  </si>
  <si>
    <t>E60557</t>
  </si>
  <si>
    <t>E60203</t>
  </si>
  <si>
    <t>E60617</t>
  </si>
  <si>
    <t>E60677</t>
  </si>
  <si>
    <t>E60715</t>
  </si>
  <si>
    <t>E60751</t>
  </si>
  <si>
    <t>E60748</t>
  </si>
  <si>
    <t>E60808</t>
  </si>
  <si>
    <t>E60822</t>
  </si>
  <si>
    <t>E60824</t>
  </si>
  <si>
    <t>E60052</t>
  </si>
  <si>
    <t>E60680</t>
  </si>
  <si>
    <t>E60156</t>
  </si>
  <si>
    <t>E60159</t>
  </si>
  <si>
    <t>E60507</t>
  </si>
  <si>
    <t>E60531</t>
  </si>
  <si>
    <t>E60466</t>
  </si>
  <si>
    <t>E60077</t>
  </si>
  <si>
    <t>E60464</t>
  </si>
  <si>
    <t>E60600</t>
  </si>
  <si>
    <t>E60601</t>
  </si>
  <si>
    <t>E60637</t>
  </si>
  <si>
    <t>E60602</t>
  </si>
  <si>
    <t>E60710</t>
  </si>
  <si>
    <t>E60711</t>
  </si>
  <si>
    <t>E60799</t>
  </si>
  <si>
    <t>E60838</t>
  </si>
  <si>
    <t>E60844</t>
  </si>
  <si>
    <t>連接名</t>
  </si>
  <si>
    <t>FIT1</t>
  </si>
  <si>
    <t>大表科目本位幣調整前</t>
  </si>
  <si>
    <t>大表科目本位幣調整后</t>
  </si>
  <si>
    <t>大表科目本位幣調整AJE</t>
  </si>
  <si>
    <t>Total</t>
  </si>
  <si>
    <t>排名 By Group</t>
  </si>
  <si>
    <t>美幣未付</t>
  </si>
  <si>
    <t>供應商名稱</t>
  </si>
  <si>
    <t>付款條件</t>
  </si>
  <si>
    <t>原幣未付金額</t>
  </si>
  <si>
    <t>本幣未付金額</t>
  </si>
  <si>
    <t>發票日期</t>
  </si>
  <si>
    <t>賬齡天數(按發票日計算)</t>
  </si>
  <si>
    <t>匯率</t>
  </si>
  <si>
    <t>賬齡(3個月以內)</t>
  </si>
  <si>
    <t>賬齡(3~4個月)</t>
  </si>
  <si>
    <t>賬齡(4~6個月)</t>
  </si>
  <si>
    <t>賬齡(6~12個月)</t>
  </si>
  <si>
    <t>賬齡(1~2年)</t>
  </si>
  <si>
    <t>賬齡(2~3年)</t>
  </si>
  <si>
    <t>賬齡(3年以上)</t>
  </si>
  <si>
    <t>發票號碼</t>
  </si>
  <si>
    <t>記賬幣種</t>
  </si>
  <si>
    <t>應付票據</t>
  </si>
  <si>
    <t>應付帳款</t>
  </si>
  <si>
    <t>應付帳款-關係人</t>
  </si>
  <si>
    <t>應付票據AJE</t>
  </si>
  <si>
    <t>應付帳款AJE</t>
  </si>
  <si>
    <t>應付帳款-關係人AJE</t>
  </si>
  <si>
    <t>USD</t>
  </si>
  <si>
    <t>Trade payables to third parties</t>
  </si>
  <si>
    <t>Trade payables to related parties</t>
  </si>
  <si>
    <t>Group</t>
  </si>
  <si>
    <t>By currency</t>
  </si>
  <si>
    <t>RMB</t>
  </si>
  <si>
    <t>NTD</t>
  </si>
  <si>
    <t>Others</t>
  </si>
  <si>
    <t>By Ageing</t>
  </si>
  <si>
    <t>Within 3 months</t>
  </si>
  <si>
    <t>3 to 4 months</t>
  </si>
  <si>
    <t>4 to 6 months</t>
  </si>
  <si>
    <t>6 to 12 months</t>
  </si>
  <si>
    <t>Over 3 years</t>
    <phoneticPr fontId="0" type="noConversion"/>
  </si>
  <si>
    <t>USD ‘000</t>
  </si>
  <si>
    <t>By Relationship</t>
  </si>
  <si>
    <t>非合併關係人</t>
  </si>
  <si>
    <t>合併關係人</t>
  </si>
  <si>
    <t>USD’000</t>
  </si>
  <si>
    <t>NBSL010101_2150</t>
  </si>
  <si>
    <t>NBSL010101_2170</t>
  </si>
  <si>
    <t>NBSL010101_2180</t>
  </si>
  <si>
    <t>換算成USD的平均匯率</t>
  </si>
  <si>
    <t>換算成USD的期末匯率</t>
  </si>
  <si>
    <t>JPY</t>
  </si>
  <si>
    <t>VND</t>
  </si>
  <si>
    <t>GBP</t>
  </si>
  <si>
    <t>KRW</t>
  </si>
  <si>
    <t>HKD</t>
  </si>
  <si>
    <t>CNY</t>
  </si>
  <si>
    <t>MXI</t>
  </si>
  <si>
    <t>1 to 2 years</t>
  </si>
  <si>
    <t>2 to 3 years</t>
  </si>
  <si>
    <t>表單名稱</t>
  </si>
  <si>
    <t>原幣幣別</t>
  </si>
  <si>
    <t>餘額</t>
  </si>
  <si>
    <t>賒帳期限</t>
  </si>
  <si>
    <t>賬齡 - 3個月以內</t>
  </si>
  <si>
    <t>賬齡 - 3~6個月</t>
  </si>
  <si>
    <t>賬齡 - 3~4個月</t>
  </si>
  <si>
    <t>賬齡 - 4~6個月</t>
  </si>
  <si>
    <t>賬齡 - 6~12個月</t>
  </si>
  <si>
    <t>賬齡 -  1~2年</t>
  </si>
  <si>
    <t>賬齡 - 2~3年</t>
  </si>
  <si>
    <t>賬齡 - 3年以上</t>
  </si>
  <si>
    <t>美幣未付金額</t>
  </si>
  <si>
    <t>供應商代碼</t>
  </si>
  <si>
    <t>期後已付款金額</t>
  </si>
  <si>
    <t>應付票據-關係人</t>
  </si>
  <si>
    <t>NBSL010101_2160</t>
  </si>
  <si>
    <t>應付票據-關係人AJE</t>
  </si>
  <si>
    <t>Package大表沖銷后金額</t>
  </si>
  <si>
    <t xml:space="preserve"> </t>
  </si>
  <si>
    <t>關係人按交易幣種分類本位幣金額</t>
  </si>
  <si>
    <t>是否取自數據庫</t>
  </si>
  <si>
    <t>數據庫表名</t>
  </si>
  <si>
    <t>AP_Top 5</t>
  </si>
  <si>
    <t>AP_By Group</t>
  </si>
  <si>
    <t>AP_Aging</t>
  </si>
  <si>
    <t>AP_Breakdown</t>
  </si>
  <si>
    <t>N</t>
  </si>
  <si>
    <t>是否取自HFM表單</t>
  </si>
  <si>
    <t>是否隱藏表單</t>
  </si>
  <si>
    <t>PlugAccount</t>
  </si>
  <si>
    <t>法人編碼</t>
  </si>
  <si>
    <t>法人名稱</t>
  </si>
  <si>
    <t>本幣幣別</t>
  </si>
  <si>
    <t>期後帳款編號</t>
  </si>
  <si>
    <t>期後付款（已付款金額）</t>
  </si>
  <si>
    <t>期後付款（未付款金額）</t>
  </si>
  <si>
    <t>USD換算成NTD的期末匯率</t>
  </si>
  <si>
    <t>USD換算成NTD的平均匯率</t>
  </si>
  <si>
    <t>合併調整</t>
  </si>
  <si>
    <t>沖銷金額-本位幣</t>
  </si>
  <si>
    <t>沖銷后金額-本位幣</t>
  </si>
  <si>
    <t>沖銷后金額-USD</t>
  </si>
  <si>
    <t>By Currency</t>
  </si>
  <si>
    <t>沖銷前金額-本位幣</t>
  </si>
  <si>
    <t>合併調整前</t>
  </si>
  <si>
    <t>Check with Package大表沖銷后金額</t>
  </si>
  <si>
    <t>Check with 沖銷前金額-本位幣</t>
  </si>
  <si>
    <t>H60452</t>
  </si>
  <si>
    <t>E60452</t>
  </si>
  <si>
    <t>Trade payables-USD</t>
  </si>
  <si>
    <t xml:space="preserve">                          </t>
  </si>
  <si>
    <t>審計資料輸出模板-AP</t>
  </si>
  <si>
    <t>合併事業體/非合併事業體及關係人/3rd party</t>
  </si>
  <si>
    <t>E60847</t>
  </si>
  <si>
    <t>關係人沖銷金額_本位幣</t>
  </si>
  <si>
    <t>Y</t>
  </si>
  <si>
    <t>Group-USD</t>
  </si>
  <si>
    <t>Company-USD</t>
  </si>
  <si>
    <t>AJE-本位幣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</si>
</sst>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5">
    <numFmt numFmtId="43" formatCode="_ * #,##0.00_ ;_ * \-#,##0.00_ ;_ * &quot;-&quot;??_ ;_ @_ "/>
    <numFmt numFmtId="164" formatCode="_-[$$-404]* #,##0.00_-;\-[$$-404]* #,##0.00_-;_-[$$-404]* &quot;-&quot;??_-;_-@_-"/>
    <numFmt numFmtId="165" formatCode="_-* #,##0.00_-;\-* #,##0.00_-;_-* &quot;-&quot;??_-;_-@_-"/>
    <numFmt numFmtId="166" formatCode="_(* #,##0.00_);_(* \(#,##0.00\);_(* &quot;-&quot;??_);_(@_)"/>
    <numFmt numFmtId="167" formatCode="_ * #,##0.000000_ ;_ * \-#,##0.000000_ ;_ * &quot;-&quot;??_ ;_ @_ "/>
  </numFmts>
  <fonts count="24">
    <font>
      <sz val="10"/>
      <name val="Arial"/>
      <family val="2"/>
    </font>
    <font>
      <sz val="11"/>
      <color theme="1"/>
      <name val="Calibri"/>
      <family val="2"/>
      <scheme val="minor"/>
    </font>
    <font>
      <sz val="10"/>
      <name val="Arial"/>
      <family val="2"/>
    </font>
    <font>
      <sz val="11"/>
      <name val="Arial"/>
      <family val="2"/>
    </font>
    <font>
      <b/>
      <sz val="14"/>
      <name val="Georgia"/>
      <family val="1"/>
    </font>
    <font>
      <sz val="12"/>
      <name val="新細明體"/>
      <family val="1"/>
      <charset val="136"/>
    </font>
    <font>
      <b/>
      <sz val="10"/>
      <color theme="0"/>
      <name val="Georgia"/>
      <family val="1"/>
    </font>
    <font>
      <sz val="9"/>
      <name val="Arial"/>
      <family val="2"/>
    </font>
    <font>
      <sz val="12"/>
      <color theme="1"/>
      <name val="Calibri"/>
      <family val="2"/>
      <charset val="136"/>
      <scheme val="minor"/>
    </font>
    <font>
      <sz val="9"/>
      <color theme="1"/>
      <name val="arial"/>
      <family val="2"/>
    </font>
    <font>
      <sz val="12"/>
      <color theme="1"/>
      <name val="Calibri"/>
      <family val="2"/>
    </font>
    <font>
      <sz val="10"/>
      <name val="Times New Roman"/>
      <family val="1"/>
    </font>
    <font>
      <sz val="11"/>
      <color theme="1"/>
      <name val="Calibri"/>
      <family val="3"/>
      <charset val="134"/>
      <scheme val="minor"/>
    </font>
    <font>
      <sz val="11"/>
      <color indexed="8"/>
      <name val="宋体"/>
      <family val="3"/>
      <charset val="134"/>
    </font>
    <font>
      <sz val="9"/>
      <name val="等线"/>
      <charset val="134"/>
    </font>
    <font>
      <sz val="9"/>
      <color rgb="FF000000"/>
      <name val="等线"/>
      <charset val="134"/>
    </font>
    <font>
      <b/>
      <sz val="9"/>
      <name val="等线"/>
      <charset val="134"/>
    </font>
    <font>
      <sz val="10"/>
      <color theme="1"/>
      <name val="Arial Unicode MS"/>
      <family val="2"/>
    </font>
    <font>
      <b/>
      <u/>
      <sz val="9"/>
      <name val="等线"/>
      <charset val="134"/>
    </font>
    <font>
      <sz val="11"/>
      <color theme="1"/>
      <name val="Arial"/>
      <family val="2"/>
    </font>
    <font>
      <b/>
      <sz val="10"/>
      <color theme="0"/>
      <name val="等线"/>
      <charset val="134"/>
    </font>
    <font>
      <sz val="12"/>
      <name val="Times New Roman"/>
      <family val="1"/>
    </font>
    <font>
      <sz val="11"/>
      <color theme="1"/>
      <name val="Calibri"/>
      <family val="1"/>
      <charset val="136"/>
      <scheme val="minor"/>
    </font>
    <font>
      <sz val="9"/>
      <color indexed="8"/>
      <name val="arial"/>
      <family val="2"/>
    </font>
  </fonts>
  <fills count="6">
    <fill>
      <patternFill patternType="none"/>
    </fill>
    <fill>
      <patternFill patternType="gray125"/>
    </fill>
    <fill>
      <patternFill patternType="solid">
        <fgColor theme="0"/>
        <bgColor theme="0"/>
      </patternFill>
    </fill>
    <fill>
      <patternFill patternType="solid">
        <fgColor theme="4"/>
        <bgColor theme="4"/>
      </patternFill>
    </fill>
    <fill>
      <patternFill patternType="solid">
        <fgColor theme="4" tint="0.79998168889431442"/>
        <bgColor theme="4" tint="0.79998168889431442"/>
      </patternFill>
    </fill>
    <fill>
      <patternFill patternType="solid">
        <fgColor theme="4" tint="0.79998168889431442"/>
        <bgColor indexed="64"/>
      </patternFill>
    </fill>
  </fills>
  <borders count="20">
    <border>
      <left/>
      <right/>
      <top/>
      <bottom/>
      <diagonal/>
    </border>
    <border>
      <left/>
      <right/>
      <top/>
      <bottom style="thin">
        <color theme="0" tint="-4.9989318521683403E-2"/>
      </bottom>
      <diagonal/>
    </border>
    <border>
      <left/>
      <right/>
      <top style="thin">
        <color theme="4" tint="-0.249977111117893"/>
      </top>
      <bottom style="thin">
        <color theme="4" tint="-0.249977111117893"/>
      </bottom>
      <diagonal/>
    </border>
    <border>
      <left/>
      <right style="thin">
        <color theme="4" tint="-0.249977111117893"/>
      </right>
      <top style="thin">
        <color theme="4" tint="-0.249977111117893"/>
      </top>
      <bottom style="thin">
        <color theme="4" tint="-0.249977111117893"/>
      </bottom>
      <diagonal/>
    </border>
    <border>
      <left style="thin">
        <color theme="4" tint="-0.249977111117893"/>
      </left>
      <right style="thin">
        <color theme="4" tint="-0.249977111117893"/>
      </right>
      <top style="thin">
        <color theme="4" tint="-0.249977111117893"/>
      </top>
      <bottom style="thin">
        <color theme="4" tint="-0.249977111117893"/>
      </bottom>
      <diagonal/>
    </border>
    <border>
      <left style="thin">
        <color theme="4" tint="-0.249977111117893"/>
      </left>
      <right/>
      <top style="thin">
        <color theme="4" tint="-0.249977111117893"/>
      </top>
      <bottom style="thin">
        <color theme="4" tint="-0.249977111117893"/>
      </bottom>
      <diagonal/>
    </border>
    <border>
      <left style="medium">
        <color theme="4" tint="-0.249977111117893"/>
      </left>
      <right style="thin">
        <color theme="4" tint="-0.249977111117893"/>
      </right>
      <top style="thin">
        <color theme="4" tint="-0.249977111117893"/>
      </top>
      <bottom style="thin">
        <color theme="4" tint="-0.249977111117893"/>
      </bottom>
      <diagonal/>
    </border>
    <border>
      <left/>
      <right/>
      <top style="thin">
        <color theme="4" tint="-0.249977111117893"/>
      </top>
      <bottom/>
      <diagonal/>
    </border>
    <border>
      <left style="thin">
        <color theme="4"/>
      </left>
      <right style="thin">
        <color theme="4"/>
      </right>
      <top style="thin">
        <color theme="4"/>
      </top>
      <bottom style="thin">
        <color theme="4"/>
      </bottom>
      <diagonal/>
    </border>
    <border>
      <left style="thin">
        <color theme="4"/>
      </left>
      <right/>
      <top style="thin">
        <color theme="4"/>
      </top>
      <bottom style="thin">
        <color theme="4"/>
      </bottom>
      <diagonal/>
    </border>
    <border>
      <left/>
      <right/>
      <top style="thin">
        <color theme="4"/>
      </top>
      <bottom style="thin">
        <color theme="4"/>
      </bottom>
      <diagonal/>
    </border>
    <border>
      <left/>
      <right style="thin">
        <color theme="4"/>
      </right>
      <top style="thin">
        <color theme="4"/>
      </top>
      <bottom style="thin">
        <color theme="4"/>
      </bottom>
      <diagonal/>
    </border>
    <border>
      <left/>
      <right/>
      <top/>
      <bottom style="thin">
        <color theme="4"/>
      </bottom>
      <diagonal/>
    </border>
    <border>
      <left style="thin">
        <color theme="4" tint="0.39997558519241921"/>
      </left>
      <right style="thin">
        <color theme="0"/>
      </right>
      <top style="thin">
        <color theme="4" tint="-0.249977111117893"/>
      </top>
      <bottom/>
      <diagonal/>
    </border>
    <border>
      <left style="thin">
        <color theme="0"/>
      </left>
      <right/>
      <top/>
      <bottom style="thin">
        <color theme="4"/>
      </bottom>
      <diagonal/>
    </border>
    <border>
      <left style="thin">
        <color theme="4" tint="-0.249977111117893"/>
      </left>
      <right style="thin">
        <color theme="4" tint="-0.249977111117893"/>
      </right>
      <top/>
      <bottom style="thin">
        <color theme="4" tint="-0.249977111117893"/>
      </bottom>
      <diagonal/>
    </border>
    <border>
      <left/>
      <right style="thin">
        <color theme="4" tint="-0.249977111117893"/>
      </right>
      <top/>
      <bottom style="thin">
        <color theme="4" tint="-0.249977111117893"/>
      </bottom>
      <diagonal/>
    </border>
    <border>
      <left style="thin">
        <color theme="0"/>
      </left>
      <right/>
      <top/>
      <bottom/>
      <diagonal/>
    </border>
    <border>
      <left/>
      <right style="thin">
        <color theme="0"/>
      </right>
      <top/>
      <bottom/>
      <diagonal/>
    </border>
    <border>
      <left style="thin">
        <color theme="4" tint="-0.249977111117893"/>
      </left>
      <right/>
      <top/>
      <bottom/>
      <diagonal/>
    </border>
  </borders>
  <cellStyleXfs count="22">
    <xf numFmtId="0" fontId="0" fillId="0" borderId="0"/>
    <xf numFmtId="43" fontId="1" fillId="0" borderId="0" applyFont="0" applyFill="0" applyBorder="0" applyAlignment="0" applyProtection="0"/>
    <xf numFmtId="0" fontId="2" fillId="0" borderId="0"/>
    <xf numFmtId="0" fontId="5" fillId="0" borderId="0"/>
    <xf numFmtId="0" fontId="3" fillId="2" borderId="1">
      <alignment vertical="center"/>
      <protection locked="0"/>
    </xf>
    <xf numFmtId="164" fontId="8" fillId="0" borderId="0">
      <alignment vertical="center"/>
    </xf>
    <xf numFmtId="0" fontId="2" fillId="0" borderId="0"/>
    <xf numFmtId="165" fontId="8" fillId="0" borderId="0" applyFont="0" applyFill="0" applyBorder="0" applyAlignment="0" applyProtection="0">
      <alignment vertical="center"/>
    </xf>
    <xf numFmtId="164" fontId="10" fillId="0" borderId="0">
      <alignment vertical="center"/>
    </xf>
    <xf numFmtId="164" fontId="11" fillId="0" borderId="0">
      <protection locked="0"/>
    </xf>
    <xf numFmtId="164" fontId="12" fillId="0" borderId="0">
      <alignment vertical="center"/>
      <protection locked="0"/>
    </xf>
    <xf numFmtId="164" fontId="12" fillId="0" borderId="0">
      <alignment vertical="center"/>
      <protection locked="0"/>
    </xf>
    <xf numFmtId="166" fontId="13" fillId="0" borderId="0" applyFont="0" applyFill="0" applyBorder="0" applyAlignment="0" applyProtection="0"/>
    <xf numFmtId="0" fontId="8" fillId="0" borderId="0">
      <alignment vertical="center"/>
    </xf>
    <xf numFmtId="164" fontId="17" fillId="0" borderId="0"/>
    <xf numFmtId="164" fontId="19" fillId="0" borderId="0"/>
    <xf numFmtId="0" fontId="8" fillId="0" borderId="0">
      <alignment vertical="center"/>
    </xf>
    <xf numFmtId="165" fontId="8" fillId="0" borderId="0" applyFont="0" applyFill="0" applyBorder="0" applyAlignment="0" applyProtection="0">
      <alignment vertical="center"/>
    </xf>
    <xf numFmtId="0" fontId="21" fillId="0" borderId="0"/>
    <xf numFmtId="0" fontId="22" fillId="0" borderId="0">
      <alignment vertical="center"/>
    </xf>
    <xf numFmtId="0" fontId="12" fillId="0" borderId="0">
      <alignment vertical="center"/>
      <protection locked="0"/>
    </xf>
    <xf numFmtId="0" fontId="12" fillId="0" borderId="0">
      <alignment vertical="center"/>
      <protection locked="0"/>
    </xf>
  </cellStyleXfs>
  <cellXfs count="86">
    <xf numFmtId="0" fontId="0" fillId="0" borderId="0" xfId="0"/>
    <xf numFmtId="0" fontId="2" fillId="0" borderId="0" xfId="2"/>
    <xf numFmtId="0" fontId="2" fillId="0" borderId="0" xfId="2" applyNumberFormat="1"/>
    <xf numFmtId="43" fontId="2" fillId="0" borderId="0" xfId="1" applyFont="1"/>
    <xf numFmtId="0" fontId="2" fillId="0" borderId="0" xfId="2" applyAlignment="1">
      <alignment horizontal="center" vertical="center"/>
    </xf>
    <xf numFmtId="49" fontId="6" fillId="3" borderId="6" xfId="5" applyNumberFormat="1" applyFont="1" applyFill="1" applyBorder="1" applyAlignment="1">
      <alignment horizontal="center" vertical="center"/>
    </xf>
    <xf numFmtId="43" fontId="6" fillId="3" borderId="6" xfId="5" applyNumberFormat="1" applyFont="1" applyFill="1" applyBorder="1" applyAlignment="1">
      <alignment horizontal="center" vertical="center"/>
    </xf>
    <xf numFmtId="43" fontId="2" fillId="0" borderId="0" xfId="2" applyNumberFormat="1"/>
    <xf numFmtId="164" fontId="9" fillId="0" borderId="0" xfId="5" applyFont="1">
      <alignment vertical="center"/>
    </xf>
    <xf numFmtId="0" fontId="2" fillId="0" borderId="0" xfId="2" applyAlignment="1"/>
    <xf numFmtId="49" fontId="6" fillId="3" borderId="6" xfId="5" applyNumberFormat="1" applyFont="1" applyFill="1" applyBorder="1" applyAlignment="1">
      <alignment horizontal="center" vertical="center" wrapText="1"/>
    </xf>
    <xf numFmtId="43" fontId="6" fillId="3" borderId="6" xfId="5" applyNumberFormat="1" applyFont="1" applyFill="1" applyBorder="1" applyAlignment="1">
      <alignment horizontal="center" vertical="center" wrapText="1"/>
    </xf>
    <xf numFmtId="43" fontId="9" fillId="0" borderId="0" xfId="5" applyNumberFormat="1" applyFont="1">
      <alignment vertical="center"/>
    </xf>
    <xf numFmtId="43" fontId="9" fillId="0" borderId="0" xfId="7" applyNumberFormat="1" applyFont="1">
      <alignment vertical="center"/>
    </xf>
    <xf numFmtId="43" fontId="2" fillId="0" borderId="0" xfId="2" applyNumberFormat="1" applyAlignment="1"/>
    <xf numFmtId="43" fontId="6" fillId="3" borderId="6" xfId="1" applyFont="1" applyFill="1" applyBorder="1" applyAlignment="1">
      <alignment horizontal="center" vertical="center"/>
    </xf>
    <xf numFmtId="0" fontId="14" fillId="0" borderId="0" xfId="2" applyFont="1" applyAlignment="1">
      <alignment vertical="center"/>
    </xf>
    <xf numFmtId="0" fontId="14" fillId="0" borderId="0" xfId="2" applyFont="1" applyAlignment="1">
      <alignment vertical="top" wrapText="1"/>
    </xf>
    <xf numFmtId="0" fontId="14" fillId="0" borderId="0" xfId="2" applyFont="1"/>
    <xf numFmtId="0" fontId="16" fillId="0" borderId="4" xfId="5" applyNumberFormat="1" applyFont="1" applyFill="1" applyBorder="1" applyAlignment="1">
      <alignment horizontal="left" vertical="center"/>
    </xf>
    <xf numFmtId="0" fontId="14" fillId="0" borderId="4" xfId="5" applyNumberFormat="1" applyFont="1" applyFill="1" applyBorder="1" applyAlignment="1">
      <alignment horizontal="left" vertical="center" indent="1"/>
    </xf>
    <xf numFmtId="0" fontId="14" fillId="0" borderId="4" xfId="2" applyFont="1" applyBorder="1" applyAlignment="1">
      <alignment horizontal="left" vertical="top" wrapText="1" indent="1"/>
    </xf>
    <xf numFmtId="0" fontId="14" fillId="0" borderId="4" xfId="2" applyFont="1" applyBorder="1" applyAlignment="1">
      <alignment horizontal="left" vertical="top" wrapText="1" indent="2"/>
    </xf>
    <xf numFmtId="0" fontId="14" fillId="0" borderId="0" xfId="2" applyFont="1" applyAlignment="1">
      <alignment horizontal="left" indent="1"/>
    </xf>
    <xf numFmtId="0" fontId="14" fillId="0" borderId="0" xfId="2" applyFont="1" applyBorder="1" applyAlignment="1">
      <alignment vertical="top" wrapText="1"/>
    </xf>
    <xf numFmtId="0" fontId="14" fillId="0" borderId="0" xfId="2" applyFont="1" applyBorder="1" applyAlignment="1">
      <alignment horizontal="left" vertical="top" wrapText="1" indent="1"/>
    </xf>
    <xf numFmtId="0" fontId="14" fillId="0" borderId="7" xfId="2" applyFont="1" applyFill="1" applyBorder="1" applyAlignment="1">
      <alignment vertical="top" wrapText="1"/>
    </xf>
    <xf numFmtId="0" fontId="14" fillId="0" borderId="0" xfId="2" applyFont="1" applyAlignment="1">
      <alignment horizontal="center" vertical="center"/>
    </xf>
    <xf numFmtId="0" fontId="14" fillId="0" borderId="4" xfId="5" applyNumberFormat="1" applyFont="1" applyFill="1" applyBorder="1" applyAlignment="1">
      <alignment horizontal="left" vertical="center" wrapText="1" indent="1"/>
    </xf>
    <xf numFmtId="0" fontId="14" fillId="0" borderId="0" xfId="5" applyNumberFormat="1" applyFont="1" applyFill="1" applyBorder="1" applyAlignment="1">
      <alignment horizontal="left" vertical="center" wrapText="1"/>
    </xf>
    <xf numFmtId="0" fontId="2" fillId="0" borderId="0" xfId="2" applyAlignment="1">
      <alignment vertical="center"/>
    </xf>
    <xf numFmtId="43" fontId="15" fillId="0" borderId="3" xfId="1" applyFont="1" applyFill="1" applyBorder="1" applyAlignment="1">
      <alignment horizontal="right" vertical="center" wrapText="1"/>
    </xf>
    <xf numFmtId="43" fontId="15" fillId="0" borderId="4" xfId="1" applyFont="1" applyFill="1" applyBorder="1" applyAlignment="1">
      <alignment horizontal="right" vertical="center" wrapText="1"/>
    </xf>
    <xf numFmtId="43" fontId="15" fillId="0" borderId="4" xfId="1" applyFont="1" applyFill="1" applyBorder="1" applyAlignment="1">
      <alignment horizontal="right" vertical="center"/>
    </xf>
    <xf numFmtId="43" fontId="15" fillId="0" borderId="3" xfId="1" applyFont="1" applyFill="1" applyBorder="1" applyAlignment="1">
      <alignment horizontal="right" vertical="center"/>
    </xf>
    <xf numFmtId="43" fontId="14" fillId="0" borderId="3" xfId="1" applyFont="1" applyBorder="1" applyAlignment="1">
      <alignment horizontal="right" vertical="top" wrapText="1"/>
    </xf>
    <xf numFmtId="43" fontId="14" fillId="0" borderId="3" xfId="2" applyNumberFormat="1" applyFont="1" applyBorder="1" applyAlignment="1">
      <alignment horizontal="right" vertical="top" wrapText="1"/>
    </xf>
    <xf numFmtId="0" fontId="7" fillId="4" borderId="8" xfId="2" applyNumberFormat="1" applyFont="1" applyFill="1" applyBorder="1" applyAlignment="1">
      <alignment horizontal="center" vertical="center"/>
    </xf>
    <xf numFmtId="0" fontId="7" fillId="0" borderId="8" xfId="2" applyNumberFormat="1" applyFont="1" applyFill="1" applyBorder="1" applyAlignment="1">
      <alignment horizontal="center" vertical="center"/>
    </xf>
    <xf numFmtId="0" fontId="6" fillId="3" borderId="13" xfId="2" applyNumberFormat="1" applyFont="1" applyFill="1" applyBorder="1" applyAlignment="1">
      <alignment horizontal="center" vertical="center"/>
    </xf>
    <xf numFmtId="49" fontId="20" fillId="3" borderId="6" xfId="5" applyNumberFormat="1" applyFont="1" applyFill="1" applyBorder="1" applyAlignment="1">
      <alignment horizontal="center" vertical="center"/>
    </xf>
    <xf numFmtId="49" fontId="20" fillId="3" borderId="6" xfId="5" applyNumberFormat="1" applyFont="1" applyFill="1" applyBorder="1" applyAlignment="1">
      <alignment horizontal="left" vertical="center"/>
    </xf>
    <xf numFmtId="0" fontId="0" fillId="0" borderId="0" xfId="0" applyProtection="1">
      <protection locked="0"/>
    </xf>
    <xf numFmtId="0" fontId="7" fillId="0" borderId="8" xfId="2" applyFont="1" applyFill="1" applyBorder="1" applyAlignment="1">
      <alignment horizontal="left" vertical="center"/>
    </xf>
    <xf numFmtId="0" fontId="6" fillId="3" borderId="14" xfId="2" applyNumberFormat="1" applyFont="1" applyFill="1" applyBorder="1" applyAlignment="1">
      <alignment horizontal="center" vertical="center"/>
    </xf>
    <xf numFmtId="0" fontId="2" fillId="0" borderId="0" xfId="2" applyAlignment="1">
      <alignment horizontal="center"/>
    </xf>
    <xf numFmtId="0" fontId="7" fillId="0" borderId="8" xfId="2" applyFont="1" applyFill="1" applyBorder="1" applyAlignment="1">
      <alignment horizontal="center" vertical="center"/>
    </xf>
    <xf numFmtId="0" fontId="7" fillId="0" borderId="8" xfId="2" applyFont="1" applyFill="1" applyBorder="1" applyAlignment="1">
      <alignment horizontal="left" vertical="center"/>
    </xf>
    <xf numFmtId="0" fontId="7" fillId="0" borderId="0" xfId="2" applyFont="1" applyFill="1" applyBorder="1" applyAlignment="1">
      <alignment horizontal="center" vertical="center"/>
    </xf>
    <xf numFmtId="0" fontId="6" fillId="0" borderId="0" xfId="2" applyNumberFormat="1" applyFont="1" applyFill="1" applyBorder="1" applyAlignment="1">
      <alignment horizontal="center" vertical="center"/>
    </xf>
    <xf numFmtId="14" fontId="6" fillId="3" borderId="6" xfId="5" applyNumberFormat="1" applyFont="1" applyFill="1" applyBorder="1" applyAlignment="1">
      <alignment horizontal="center" vertical="center"/>
    </xf>
    <xf numFmtId="14" fontId="2" fillId="0" borderId="0" xfId="2" applyNumberFormat="1"/>
    <xf numFmtId="0" fontId="14" fillId="0" borderId="15" xfId="5" applyNumberFormat="1" applyFont="1" applyFill="1" applyBorder="1" applyAlignment="1">
      <alignment horizontal="left" vertical="center" indent="1"/>
    </xf>
    <xf numFmtId="43" fontId="15" fillId="0" borderId="16" xfId="1" applyFont="1" applyFill="1" applyBorder="1" applyAlignment="1">
      <alignment horizontal="right" vertical="center"/>
    </xf>
    <xf numFmtId="43" fontId="15" fillId="0" borderId="15" xfId="1" applyFont="1" applyFill="1" applyBorder="1" applyAlignment="1">
      <alignment horizontal="right" vertical="center"/>
    </xf>
    <xf numFmtId="0" fontId="16" fillId="0" borderId="4" xfId="5" applyNumberFormat="1" applyFont="1" applyFill="1" applyBorder="1" applyAlignment="1">
      <alignment vertical="center" wrapText="1"/>
    </xf>
    <xf numFmtId="0" fontId="2" fillId="0" borderId="0" xfId="2" applyAlignment="1">
      <alignment vertical="center" wrapText="1"/>
    </xf>
    <xf numFmtId="43" fontId="2" fillId="0" borderId="0" xfId="2" applyNumberFormat="1" applyAlignment="1">
      <alignment vertical="center" wrapText="1"/>
    </xf>
    <xf numFmtId="164" fontId="23" fillId="0" borderId="0" xfId="10" applyFont="1" applyFill="1" applyBorder="1" applyAlignment="1">
      <alignment wrapText="1"/>
      <protection locked="0"/>
    </xf>
    <xf numFmtId="43" fontId="2" fillId="0" borderId="0" xfId="2" applyNumberFormat="1" applyAlignment="1">
      <alignment wrapText="1"/>
    </xf>
    <xf numFmtId="43" fontId="2" fillId="0" borderId="0" xfId="1" applyFont="1" applyAlignment="1">
      <alignment vertical="center" wrapText="1"/>
    </xf>
    <xf numFmtId="14" fontId="2" fillId="0" borderId="0" xfId="2" applyNumberFormat="1" applyAlignment="1">
      <alignment vertical="center" wrapText="1"/>
    </xf>
    <xf numFmtId="0" fontId="16" fillId="0" borderId="4" xfId="2" applyFont="1" applyBorder="1" applyAlignment="1">
      <alignment vertical="top" wrapText="1"/>
    </xf>
    <xf numFmtId="0" fontId="7" fillId="0" borderId="8" xfId="2" applyNumberFormat="1" applyFont="1" applyFill="1" applyBorder="1" applyAlignment="1" applyProtection="1">
      <alignment horizontal="center" vertical="center"/>
      <protection locked="0"/>
    </xf>
    <xf numFmtId="167" fontId="15" fillId="0" borderId="3" xfId="1" applyNumberFormat="1" applyFont="1" applyFill="1" applyBorder="1" applyAlignment="1">
      <alignment horizontal="right" vertical="center" wrapText="1"/>
    </xf>
    <xf numFmtId="167" fontId="15" fillId="0" borderId="3" xfId="1" applyNumberFormat="1" applyFont="1" applyFill="1" applyBorder="1" applyAlignment="1">
      <alignment horizontal="right" vertical="center"/>
    </xf>
    <xf numFmtId="167" fontId="15" fillId="0" borderId="4" xfId="1" applyNumberFormat="1" applyFont="1" applyFill="1" applyBorder="1" applyAlignment="1">
      <alignment horizontal="right" vertical="center"/>
    </xf>
    <xf numFmtId="167" fontId="14" fillId="0" borderId="0" xfId="2" applyNumberFormat="1" applyFont="1" applyAlignment="1">
      <alignment vertical="center"/>
    </xf>
    <xf numFmtId="0" fontId="18" fillId="0" borderId="5" xfId="2" applyFont="1" applyBorder="1" applyAlignment="1">
      <alignment vertical="top" wrapText="1"/>
    </xf>
    <xf numFmtId="0" fontId="18" fillId="0" borderId="2" xfId="2" applyFont="1" applyBorder="1" applyAlignment="1">
      <alignment vertical="top" wrapText="1"/>
    </xf>
    <xf numFmtId="0" fontId="14" fillId="0" borderId="19" xfId="2" applyFont="1" applyBorder="1" applyAlignment="1">
      <alignment vertical="top" wrapText="1"/>
    </xf>
    <xf numFmtId="0" fontId="14" fillId="0" borderId="4" xfId="2" applyFont="1" applyBorder="1" applyAlignment="1">
      <alignment vertical="top" wrapText="1"/>
    </xf>
    <xf numFmtId="0" fontId="7" fillId="0" borderId="9" xfId="2" applyFont="1" applyFill="1" applyBorder="1" applyAlignment="1">
      <alignment horizontal="left" vertical="center"/>
    </xf>
    <xf numFmtId="0" fontId="7" fillId="0" borderId="10" xfId="2" applyFont="1" applyFill="1" applyBorder="1" applyAlignment="1">
      <alignment horizontal="left" vertical="center"/>
    </xf>
    <xf numFmtId="0" fontId="7" fillId="0" borderId="11" xfId="2" applyFont="1" applyFill="1" applyBorder="1" applyAlignment="1">
      <alignment horizontal="left" vertical="center"/>
    </xf>
    <xf numFmtId="0" fontId="7" fillId="0" borderId="9" xfId="2" applyNumberFormat="1" applyFont="1" applyFill="1" applyBorder="1" applyAlignment="1" applyProtection="1">
      <alignment horizontal="left" vertical="center" indent="1"/>
      <protection locked="0"/>
    </xf>
    <xf numFmtId="0" fontId="7" fillId="0" borderId="10" xfId="2" applyNumberFormat="1" applyFont="1" applyFill="1" applyBorder="1" applyAlignment="1" applyProtection="1">
      <alignment horizontal="left" vertical="center" indent="1"/>
      <protection locked="0"/>
    </xf>
    <xf numFmtId="0" fontId="7" fillId="0" borderId="11" xfId="2" applyNumberFormat="1" applyFont="1" applyFill="1" applyBorder="1" applyAlignment="1" applyProtection="1">
      <alignment horizontal="left" vertical="center" indent="1"/>
      <protection locked="0"/>
    </xf>
    <xf numFmtId="0" fontId="6" fillId="3" borderId="8" xfId="2" applyNumberFormat="1" applyFont="1" applyFill="1" applyBorder="1" applyAlignment="1">
      <alignment horizontal="left" vertical="center" indent="1"/>
    </xf>
    <xf numFmtId="0" fontId="4" fillId="0" borderId="12" xfId="2" applyNumberFormat="1" applyFont="1" applyBorder="1" applyAlignment="1">
      <alignment horizontal="left" vertical="center"/>
    </xf>
    <xf numFmtId="0" fontId="6" fillId="3" borderId="17" xfId="2" applyNumberFormat="1" applyFont="1" applyFill="1" applyBorder="1" applyAlignment="1">
      <alignment horizontal="center" vertical="center"/>
    </xf>
    <xf numFmtId="0" fontId="6" fillId="3" borderId="0" xfId="2" applyNumberFormat="1" applyFont="1" applyFill="1" applyBorder="1" applyAlignment="1">
      <alignment horizontal="center" vertical="center"/>
    </xf>
    <xf numFmtId="0" fontId="6" fillId="3" borderId="18" xfId="2" applyNumberFormat="1" applyFont="1" applyFill="1" applyBorder="1" applyAlignment="1">
      <alignment horizontal="center" vertical="center"/>
    </xf>
    <xf numFmtId="0" fontId="16" fillId="5" borderId="5" xfId="2" applyFont="1" applyFill="1" applyBorder="1" applyAlignment="1">
      <alignment vertical="top" wrapText="1"/>
    </xf>
    <xf numFmtId="0" fontId="16" fillId="5" borderId="2" xfId="2" applyFont="1" applyFill="1" applyBorder="1" applyAlignment="1">
      <alignment vertical="top" wrapText="1"/>
    </xf>
    <xf numFmtId="0" fontId="16" fillId="5" borderId="3" xfId="2" applyFont="1" applyFill="1" applyBorder="1" applyAlignment="1">
      <alignment vertical="top" wrapText="1"/>
    </xf>
  </cellXfs>
  <cellStyles count="22">
    <cellStyle name="Comma 2 4" xfId="12"/>
    <cellStyle name="Normal 111" xfId="14"/>
    <cellStyle name="Normal 2 2" xfId="18"/>
    <cellStyle name="Normal 2 2 10 2" xfId="9"/>
    <cellStyle name="Normal 2 3 3" xfId="20"/>
    <cellStyle name="Normal 2 3 3 2" xfId="10"/>
    <cellStyle name="Normal 3" xfId="19"/>
    <cellStyle name="Normal 6 2" xfId="11"/>
    <cellStyle name="Normal 6 3" xfId="21"/>
    <cellStyle name="常规" xfId="0" builtinId="0"/>
    <cellStyle name="常规 2" xfId="2"/>
    <cellStyle name="常规 2 2" xfId="13"/>
    <cellStyle name="常规 3" xfId="5"/>
    <cellStyle name="常规 3 2" xfId="6"/>
    <cellStyle name="常规 4" xfId="15"/>
    <cellStyle name="千分位 6" xfId="17"/>
    <cellStyle name="千位分隔" xfId="1" builtinId="3"/>
    <cellStyle name="千位分隔 2" xfId="7"/>
    <cellStyle name="填寫區域" xfId="4"/>
    <cellStyle name="一般 2 2 3" xfId="16"/>
    <cellStyle name="一般 5" xfId="8"/>
    <cellStyle name="一般_PACKAGE檢查項目_change_1" xfId="3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externalLink" Target="externalLinks/externalLink1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510540</xdr:colOff>
      <xdr:row>2</xdr:row>
      <xdr:rowOff>160020</xdr:rowOff>
    </xdr:from>
    <xdr:to>
      <xdr:col>11</xdr:col>
      <xdr:colOff>487680</xdr:colOff>
      <xdr:row>4</xdr:row>
      <xdr:rowOff>0</xdr:rowOff>
    </xdr:to>
    <xdr:sp macro="[0]!Refresh" textlink="">
      <xdr:nvSpPr>
        <xdr:cNvPr id="2" name="圆角矩形 1"/>
        <xdr:cNvSpPr/>
      </xdr:nvSpPr>
      <xdr:spPr>
        <a:xfrm>
          <a:off x="6888480" y="784860"/>
          <a:ext cx="777240" cy="342900"/>
        </a:xfrm>
        <a:prstGeom prst="roundRect">
          <a:avLst/>
        </a:prstGeom>
      </xdr:spPr>
      <xdr:style>
        <a:lnRef idx="3">
          <a:schemeClr val="lt1"/>
        </a:lnRef>
        <a:fillRef idx="1">
          <a:schemeClr val="accent1"/>
        </a:fillRef>
        <a:effectRef idx="1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US" altLang="zh-CN" sz="1400">
              <a:solidFill>
                <a:schemeClr val="bg1"/>
              </a:solidFill>
            </a:rPr>
            <a:t>Refresh</a:t>
          </a:r>
          <a:endParaRPr lang="en-US" sz="1400">
            <a:solidFill>
              <a:schemeClr val="bg1"/>
            </a:solidFill>
          </a:endParaRPr>
        </a:p>
      </xdr:txBody>
    </xdr:sp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Oracle/SmartView/bin/HsTbar.xla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Sheet1"/>
    </sheetNames>
    <definedNames>
      <definedName name="HsDescription"/>
      <definedName name="HsGetValue"/>
    </definedNames>
    <sheetDataSet>
      <sheetData sheetId="0"/>
    </sheetDataSet>
  </externalBook>
</externalLink>
</file>

<file path=xl/theme/theme1.xml><?xml version="1.0" encoding="utf-8"?>
<a:theme xmlns:a="http://schemas.openxmlformats.org/drawingml/2006/main" name="Office 主题​​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.xml"/><Relationship Id="rId2" Type="http://schemas.openxmlformats.org/officeDocument/2006/relationships/customProperty" Target="../customProperty2.bin"/><Relationship Id="rId1" Type="http://schemas.openxmlformats.org/officeDocument/2006/relationships/customProperty" Target="../customProperty1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customProperty" Target="../customProperty3.bin"/></Relationships>
</file>

<file path=xl/worksheets/_rels/sheet6.xml.rels><?xml version="1.0" encoding="UTF-8" standalone="yes"?>
<Relationships xmlns="http://schemas.openxmlformats.org/package/2006/relationships"><Relationship Id="rId8" Type="http://schemas.openxmlformats.org/officeDocument/2006/relationships/customProperty" Target="../customProperty10.bin"/><Relationship Id="rId13" Type="http://schemas.openxmlformats.org/officeDocument/2006/relationships/customProperty" Target="../customProperty15.bin"/><Relationship Id="rId3" Type="http://schemas.openxmlformats.org/officeDocument/2006/relationships/customProperty" Target="../customProperty5.bin"/><Relationship Id="rId7" Type="http://schemas.openxmlformats.org/officeDocument/2006/relationships/customProperty" Target="../customProperty9.bin"/><Relationship Id="rId12" Type="http://schemas.openxmlformats.org/officeDocument/2006/relationships/customProperty" Target="../customProperty14.bin"/><Relationship Id="rId2" Type="http://schemas.openxmlformats.org/officeDocument/2006/relationships/customProperty" Target="../customProperty4.bin"/><Relationship Id="rId1" Type="http://schemas.openxmlformats.org/officeDocument/2006/relationships/printerSettings" Target="../printerSettings/printerSettings2.bin"/><Relationship Id="rId6" Type="http://schemas.openxmlformats.org/officeDocument/2006/relationships/customProperty" Target="../customProperty8.bin"/><Relationship Id="rId11" Type="http://schemas.openxmlformats.org/officeDocument/2006/relationships/customProperty" Target="../customProperty13.bin"/><Relationship Id="rId5" Type="http://schemas.openxmlformats.org/officeDocument/2006/relationships/customProperty" Target="../customProperty7.bin"/><Relationship Id="rId10" Type="http://schemas.openxmlformats.org/officeDocument/2006/relationships/customProperty" Target="../customProperty12.bin"/><Relationship Id="rId4" Type="http://schemas.openxmlformats.org/officeDocument/2006/relationships/customProperty" Target="../customProperty6.bin"/><Relationship Id="rId9" Type="http://schemas.openxmlformats.org/officeDocument/2006/relationships/customProperty" Target="../customProperty11.bin"/><Relationship Id="rId14" Type="http://schemas.openxmlformats.org/officeDocument/2006/relationships/customProperty" Target="../customProperty16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K61"/>
  <sheetViews>
    <sheetView showGridLines="0" tabSelected="1" zoomScaleNormal="100" workbookViewId="0">
      <pane ySplit="6" topLeftCell="A7" activePane="bottomLeft" state="frozen"/>
      <selection pane="bottomLeft" activeCell="I18" sqref="I18"/>
    </sheetView>
  </sheetViews>
  <sheetFormatPr defaultRowHeight="13.2"/>
  <cols>
    <col min="1" max="2" width="10.44140625" style="2" customWidth="1"/>
    <col min="3" max="4" width="10.44140625" style="1" customWidth="1"/>
    <col min="5" max="5" width="15.109375" style="45" hidden="1" customWidth="1"/>
    <col min="6" max="6" width="11" style="1" hidden="1" customWidth="1"/>
    <col min="7" max="7" width="18.109375" style="45" hidden="1" customWidth="1"/>
    <col min="8" max="8" width="0.6640625" style="45" hidden="1" customWidth="1"/>
    <col min="9" max="9" width="11.6640625" style="45" bestFit="1" customWidth="1"/>
    <col min="10" max="10" width="29.88671875" style="1" hidden="1" customWidth="1"/>
    <col min="11" max="11" width="144.109375" style="1" hidden="1" customWidth="1"/>
    <col min="12" max="12" width="10.6640625" style="1" customWidth="1"/>
    <col min="13" max="16384" width="8.88671875" style="1"/>
  </cols>
  <sheetData>
    <row r="1" spans="1:11" ht="29.4" customHeight="1">
      <c r="A1" s="79" t="s">
        <v>160</v>
      </c>
      <c r="B1" s="79"/>
      <c r="C1" s="79"/>
      <c r="D1" s="79"/>
    </row>
    <row r="2" spans="1:11" ht="19.8" customHeight="1">
      <c r="A2" s="78" t="s">
        <v>0</v>
      </c>
      <c r="B2" s="78"/>
      <c r="C2" s="78"/>
      <c r="D2" s="78"/>
      <c r="J2" s="30" t="s">
        <v>47</v>
      </c>
      <c r="K2" s="30" t="str">
        <f>";Scenario#Actual;Year#"&amp;$B$4&amp;";Period#"&amp;$D$4&amp;";View#YTD;Value#&lt;Entity Currency&gt;;ICP#[ICP None];Custom1#[None];Custom2#[None];Custom3#[None];Custom4#PackageTotal"</f>
        <v>;Scenario#Actual;Year#;Period#;View#YTD;Value#&lt;Entity Currency&gt;;ICP#[ICP None];Custom1#[None];Custom2#[None];Custom3#[None];Custom4#PackageTotal</v>
      </c>
    </row>
    <row r="3" spans="1:11" ht="19.8" customHeight="1">
      <c r="A3" s="37" t="s">
        <v>45</v>
      </c>
      <c r="B3" s="75" t="s">
        <v>46</v>
      </c>
      <c r="C3" s="76"/>
      <c r="D3" s="77"/>
      <c r="J3" s="30" t="s">
        <v>49</v>
      </c>
      <c r="K3" s="30" t="str">
        <f>";Scenario#Actual;Year#"&amp;$B$4&amp;";Period#"&amp;$D$4&amp;";View#YTD;Value#&lt;Entity Curr Adjs&gt;;ICP#[ICP None];Custom1#[None];Custom2#[None];Custom3#[None];Custom4#PackageTotal"</f>
        <v>;Scenario#Actual;Year#;Period#;View#YTD;Value#&lt;Entity Curr Adjs&gt;;ICP#[ICP None];Custom1#[None];Custom2#[None];Custom3#[None];Custom4#PackageTotal</v>
      </c>
    </row>
    <row r="4" spans="1:11" ht="19.8" customHeight="1">
      <c r="A4" s="37" t="s">
        <v>1</v>
      </c>
      <c r="B4" s="63"/>
      <c r="C4" s="37" t="s">
        <v>2</v>
      </c>
      <c r="D4" s="63"/>
      <c r="J4" s="30" t="s">
        <v>48</v>
      </c>
      <c r="K4" s="30" t="str">
        <f>";Scenario#Actual;Year#"&amp;$B$4&amp;";Period#"&amp;$D$4&amp;";View#YTD;Value#&lt;Entity Curr Total&gt;;ICP#[ICP None];Custom1#[None];Custom2#[None];Custom3#[None];Custom4#PackageTotal"</f>
        <v>;Scenario#Actual;Year#;Period#;View#YTD;Value#&lt;Entity Curr Total&gt;;ICP#[ICP None];Custom1#[None];Custom2#[None];Custom3#[None];Custom4#PackageTotal</v>
      </c>
    </row>
    <row r="5" spans="1:11" ht="19.8" customHeight="1">
      <c r="J5" s="30" t="s">
        <v>128</v>
      </c>
      <c r="K5" s="30" t="str">
        <f>";Scenario#Actual;Year#"&amp;$B$4&amp;";Period#"&amp;$D$4&amp;";View#YTD;Value#&lt;Entity Curr Total&gt;;ICP#[ICP Entities];Custom1#[None];Custom2#[None];Custom4#PackageTotal"</f>
        <v>;Scenario#Actual;Year#;Period#;View#YTD;Value#&lt;Entity Curr Total&gt;;ICP#[ICP Entities];Custom1#[None];Custom2#[None];Custom4#PackageTotal</v>
      </c>
    </row>
    <row r="6" spans="1:11" ht="19.8" customHeight="1">
      <c r="A6" s="39" t="s">
        <v>3</v>
      </c>
      <c r="B6" s="80" t="s">
        <v>108</v>
      </c>
      <c r="C6" s="81"/>
      <c r="D6" s="82"/>
      <c r="E6" s="44" t="s">
        <v>129</v>
      </c>
      <c r="F6" s="44" t="s">
        <v>130</v>
      </c>
      <c r="G6" s="44" t="s">
        <v>136</v>
      </c>
      <c r="H6" s="44" t="s">
        <v>137</v>
      </c>
      <c r="I6" s="49"/>
      <c r="J6" s="30" t="s">
        <v>98</v>
      </c>
      <c r="K6" s="30" t="str">
        <f>";Scenario#Actual;Year#"&amp;$B$4&amp;";Period#"&amp;$D$4&amp;";Entity#[None];Account#CLORate;View#YTD;Value#[None];ICP#[ICP None];Custom2#USD;Custom3#[None];Custom4#[None]"</f>
        <v>;Scenario#Actual;Year#;Period#;Entity#[None];Account#CLORate;View#YTD;Value#[None];ICP#[ICP None];Custom2#USD;Custom3#[None];Custom4#[None]</v>
      </c>
    </row>
    <row r="7" spans="1:11" ht="18.600000000000001" customHeight="1">
      <c r="A7" s="38">
        <v>1</v>
      </c>
      <c r="B7" s="72" t="s">
        <v>133</v>
      </c>
      <c r="C7" s="73"/>
      <c r="D7" s="74"/>
      <c r="E7" s="46" t="s">
        <v>135</v>
      </c>
      <c r="F7" s="43"/>
      <c r="G7" s="46" t="s">
        <v>135</v>
      </c>
      <c r="H7" s="46" t="s">
        <v>135</v>
      </c>
      <c r="I7" s="48"/>
      <c r="J7" s="30" t="s">
        <v>97</v>
      </c>
      <c r="K7" s="30" t="str">
        <f>";Scenario#Actual;Year#"&amp;$B$4&amp;";Period#"&amp;$D$4&amp;";Entity#[None];Account#AVGRate;View#YTD;Value#[None];ICP#[ICP None];Custom2#USD;Custom3#[None];Custom4#[None]"</f>
        <v>;Scenario#Actual;Year#;Period#;Entity#[None];Account#AVGRate;View#YTD;Value#[None];ICP#[ICP None];Custom2#USD;Custom3#[None];Custom4#[None]</v>
      </c>
    </row>
    <row r="8" spans="1:11" ht="18.600000000000001" customHeight="1">
      <c r="A8" s="38">
        <v>2</v>
      </c>
      <c r="B8" s="72" t="s">
        <v>131</v>
      </c>
      <c r="C8" s="73"/>
      <c r="D8" s="74"/>
      <c r="E8" s="46" t="s">
        <v>135</v>
      </c>
      <c r="F8" s="43"/>
      <c r="G8" s="46" t="s">
        <v>135</v>
      </c>
      <c r="H8" s="46" t="s">
        <v>135</v>
      </c>
      <c r="I8" s="48"/>
      <c r="J8" s="30" t="s">
        <v>145</v>
      </c>
      <c r="K8" s="30" t="str">
        <f>"Scenario#Actual;Year#"&amp;$B$4&amp;";Period#"&amp;$D$4&amp;";Entity#[None];Account#CLORate;View#YTD;Value#[None];ICP#[ICP None];Custom1#USD;Custom2#NTD;Custom3#[None];Custom4#[None]"</f>
        <v>Scenario#Actual;Year#;Period#;Entity#[None];Account#CLORate;View#YTD;Value#[None];ICP#[ICP None];Custom1#USD;Custom2#NTD;Custom3#[None];Custom4#[None]</v>
      </c>
    </row>
    <row r="9" spans="1:11" ht="18.600000000000001" customHeight="1">
      <c r="A9" s="38">
        <v>3</v>
      </c>
      <c r="B9" s="72" t="s">
        <v>132</v>
      </c>
      <c r="C9" s="73"/>
      <c r="D9" s="74"/>
      <c r="E9" s="46" t="s">
        <v>135</v>
      </c>
      <c r="F9" s="43"/>
      <c r="G9" s="46" t="s">
        <v>135</v>
      </c>
      <c r="H9" s="46" t="s">
        <v>135</v>
      </c>
      <c r="I9" s="48"/>
      <c r="J9" s="30" t="s">
        <v>146</v>
      </c>
      <c r="K9" s="30" t="str">
        <f>"Scenario#Actual;Year#"&amp;$B$4&amp;";Period#"&amp;$D$4&amp;";Entity#[None];Account#AVGRate;View#YTD;Value#[None];ICP#[ICP None];Custom1#USD;Custom2#NTD;Custom3#[None];Custom4#[None]"</f>
        <v>Scenario#Actual;Year#;Period#;Entity#[None];Account#AVGRate;View#YTD;Value#[None];ICP#[ICP None];Custom1#USD;Custom2#NTD;Custom3#[None];Custom4#[None]</v>
      </c>
    </row>
    <row r="10" spans="1:11" ht="17.399999999999999" customHeight="1">
      <c r="A10" s="38">
        <v>4</v>
      </c>
      <c r="B10" s="72" t="s">
        <v>134</v>
      </c>
      <c r="C10" s="73"/>
      <c r="D10" s="74"/>
      <c r="E10" s="46" t="s">
        <v>135</v>
      </c>
      <c r="F10" s="47"/>
      <c r="G10" s="46" t="s">
        <v>135</v>
      </c>
      <c r="H10" s="46" t="s">
        <v>135</v>
      </c>
      <c r="I10" s="48"/>
      <c r="J10" s="1" t="s">
        <v>138</v>
      </c>
      <c r="K10" s="30" t="str">
        <f>";Scenario#Actual;Year#"&amp;$B$4&amp;";Period#"&amp;$D$4&amp;";View#YTD;Value#&lt;Entity Currency&gt;;ICP#[ICP Entities];Custom1#[None];Custom2#[None];Custom3#[None];Custom4#[None]"</f>
        <v>;Scenario#Actual;Year#;Period#;View#YTD;Value#&lt;Entity Currency&gt;;ICP#[ICP Entities];Custom1#[None];Custom2#[None];Custom3#[None];Custom4#[None]</v>
      </c>
    </row>
    <row r="11" spans="1:11" ht="15.6" hidden="1" customHeight="1">
      <c r="A11" s="38">
        <v>5</v>
      </c>
      <c r="B11" s="72" t="s">
        <v>163</v>
      </c>
      <c r="C11" s="73"/>
      <c r="D11" s="74"/>
      <c r="E11" s="46" t="s">
        <v>135</v>
      </c>
      <c r="F11" s="47"/>
      <c r="G11" s="46" t="s">
        <v>164</v>
      </c>
      <c r="H11" s="46" t="s">
        <v>164</v>
      </c>
      <c r="I11" s="48"/>
    </row>
    <row r="12" spans="1:11" ht="19.8" customHeight="1">
      <c r="I12" s="48"/>
    </row>
    <row r="13" spans="1:11" ht="18.600000000000001" customHeight="1">
      <c r="I13" s="48"/>
    </row>
    <row r="14" spans="1:11" ht="18.600000000000001" customHeight="1">
      <c r="I14" s="48"/>
    </row>
    <row r="15" spans="1:11" ht="18.600000000000001" customHeight="1">
      <c r="I15" s="48"/>
    </row>
    <row r="16" spans="1:11" ht="18.600000000000001" customHeight="1">
      <c r="I16" s="48"/>
    </row>
    <row r="17" spans="9:9" ht="18.600000000000001" customHeight="1">
      <c r="I17" s="48"/>
    </row>
    <row r="18" spans="9:9" ht="18.600000000000001" customHeight="1">
      <c r="I18" s="48"/>
    </row>
    <row r="19" spans="9:9" ht="18.600000000000001" customHeight="1">
      <c r="I19" s="48"/>
    </row>
    <row r="20" spans="9:9" ht="18.600000000000001" customHeight="1">
      <c r="I20" s="48"/>
    </row>
    <row r="21" spans="9:9" ht="18.600000000000001" customHeight="1">
      <c r="I21" s="48"/>
    </row>
    <row r="22" spans="9:9" ht="18.600000000000001" customHeight="1">
      <c r="I22" s="48"/>
    </row>
    <row r="23" spans="9:9" ht="18.600000000000001" customHeight="1">
      <c r="I23" s="48"/>
    </row>
    <row r="24" spans="9:9" ht="18.600000000000001" customHeight="1">
      <c r="I24" s="48"/>
    </row>
    <row r="25" spans="9:9" ht="18.600000000000001" customHeight="1">
      <c r="I25" s="48"/>
    </row>
    <row r="26" spans="9:9" ht="18.600000000000001" customHeight="1">
      <c r="I26" s="48"/>
    </row>
    <row r="27" spans="9:9" ht="18.600000000000001" customHeight="1">
      <c r="I27" s="48"/>
    </row>
    <row r="28" spans="9:9" ht="18.600000000000001" customHeight="1">
      <c r="I28" s="48"/>
    </row>
    <row r="29" spans="9:9" ht="18.600000000000001" customHeight="1">
      <c r="I29" s="48"/>
    </row>
    <row r="30" spans="9:9" ht="18.600000000000001" customHeight="1">
      <c r="I30" s="48"/>
    </row>
    <row r="31" spans="9:9" ht="18.600000000000001" customHeight="1">
      <c r="I31" s="48"/>
    </row>
    <row r="32" spans="9:9" ht="18.600000000000001" customHeight="1">
      <c r="I32" s="48"/>
    </row>
    <row r="33" spans="9:9" ht="18.600000000000001" customHeight="1">
      <c r="I33" s="48"/>
    </row>
    <row r="34" spans="9:9" ht="18.600000000000001" customHeight="1">
      <c r="I34" s="48"/>
    </row>
    <row r="35" spans="9:9" ht="18.600000000000001" customHeight="1">
      <c r="I35" s="48"/>
    </row>
    <row r="36" spans="9:9" ht="18.600000000000001" customHeight="1">
      <c r="I36" s="48"/>
    </row>
    <row r="37" spans="9:9" ht="18.600000000000001" customHeight="1">
      <c r="I37" s="48"/>
    </row>
    <row r="38" spans="9:9" ht="18.600000000000001" customHeight="1">
      <c r="I38" s="48"/>
    </row>
    <row r="39" spans="9:9" ht="18.600000000000001" customHeight="1">
      <c r="I39" s="48"/>
    </row>
    <row r="40" spans="9:9" ht="18.600000000000001" customHeight="1">
      <c r="I40" s="48"/>
    </row>
    <row r="41" spans="9:9" ht="18.600000000000001" customHeight="1">
      <c r="I41" s="48"/>
    </row>
    <row r="42" spans="9:9" ht="18.600000000000001" customHeight="1">
      <c r="I42" s="48"/>
    </row>
    <row r="43" spans="9:9" ht="18.600000000000001" customHeight="1">
      <c r="I43" s="48"/>
    </row>
    <row r="44" spans="9:9" ht="18.600000000000001" customHeight="1">
      <c r="I44" s="48"/>
    </row>
    <row r="45" spans="9:9" ht="18.600000000000001" customHeight="1">
      <c r="I45" s="48"/>
    </row>
    <row r="46" spans="9:9" ht="18.600000000000001" customHeight="1">
      <c r="I46" s="48"/>
    </row>
    <row r="47" spans="9:9" ht="18.600000000000001" customHeight="1">
      <c r="I47" s="48"/>
    </row>
    <row r="48" spans="9:9" ht="18.600000000000001" customHeight="1">
      <c r="I48" s="48"/>
    </row>
    <row r="49" spans="9:9" ht="18.600000000000001" customHeight="1">
      <c r="I49" s="48"/>
    </row>
    <row r="50" spans="9:9" ht="18.600000000000001" customHeight="1">
      <c r="I50" s="48"/>
    </row>
    <row r="51" spans="9:9" ht="18.600000000000001" customHeight="1">
      <c r="I51" s="48"/>
    </row>
    <row r="52" spans="9:9" ht="18.600000000000001" customHeight="1">
      <c r="I52" s="48"/>
    </row>
    <row r="53" spans="9:9" ht="18.600000000000001" customHeight="1">
      <c r="I53" s="48"/>
    </row>
    <row r="54" spans="9:9" ht="18.600000000000001" customHeight="1">
      <c r="I54" s="48"/>
    </row>
    <row r="55" spans="9:9" ht="18.600000000000001" customHeight="1">
      <c r="I55" s="48"/>
    </row>
    <row r="56" spans="9:9" ht="18.600000000000001" customHeight="1">
      <c r="I56" s="48"/>
    </row>
    <row r="57" spans="9:9" ht="18.600000000000001" customHeight="1">
      <c r="I57" s="48"/>
    </row>
    <row r="58" spans="9:9" ht="18.600000000000001" customHeight="1">
      <c r="I58" s="48"/>
    </row>
    <row r="59" spans="9:9" ht="18.600000000000001" customHeight="1">
      <c r="I59" s="48"/>
    </row>
    <row r="60" spans="9:9" ht="18.600000000000001" customHeight="1">
      <c r="I60" s="48"/>
    </row>
    <row r="61" spans="9:9" ht="18.600000000000001" customHeight="1">
      <c r="I61" s="48"/>
    </row>
  </sheetData>
  <sheetProtection algorithmName="SHA-512" hashValue="7qxgDGkMu5recYXaCtIuDaro8p0PToo2OsK33aGCI/gdpMXYh0UP/UC8/6NYSbXmQsAVXnqOVeVjL2tAIttYXA==" saltValue="MqZwzjXMO3qndocTkIVCjw==" spinCount="100000" sheet="1" objects="1" scenarios="1"/>
  <mergeCells count="9">
    <mergeCell ref="B10:D10"/>
    <mergeCell ref="B3:D3"/>
    <mergeCell ref="A2:D2"/>
    <mergeCell ref="B11:D11"/>
    <mergeCell ref="A1:D1"/>
    <mergeCell ref="B6:D6"/>
    <mergeCell ref="B7:D7"/>
    <mergeCell ref="B8:D8"/>
    <mergeCell ref="B9:D9"/>
  </mergeCells>
  <dataValidations count="2">
    <dataValidation type="list" allowBlank="1" showInputMessage="1" showErrorMessage="1" sqref="B4">
      <formula1>"2017,2018,2019,2020,2021,2022,2023,2024,2025,2026,2027,2028,2029,2030"</formula1>
    </dataValidation>
    <dataValidation type="list" allowBlank="1" showInputMessage="1" showErrorMessage="1" sqref="D4">
      <formula1>"JAN,FEB,MAR,APR,MAY,JUN,JUL,AUG,SEP,OCT,NOV,DEC"</formula1>
    </dataValidation>
  </dataValidations>
  <pageMargins left="0.75" right="0.75" top="1" bottom="1" header="0.5" footer="0.5"/>
  <headerFooter alignWithMargins="0"/>
  <customProperties>
    <customPr name="SheetOptions" r:id="rId1"/>
    <customPr name="WORKBKFUNCTIONCACHE" r:id="rId2"/>
  </customProperties>
  <drawing r:id="rId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1:AB14"/>
  <sheetViews>
    <sheetView zoomScaleNormal="100" workbookViewId="0">
      <pane ySplit="1" topLeftCell="A2" activePane="bottomLeft" state="frozen"/>
      <selection activeCell="M25" sqref="M25"/>
      <selection pane="bottomLeft" activeCell="AA13" sqref="AA13"/>
    </sheetView>
  </sheetViews>
  <sheetFormatPr defaultRowHeight="13.2"/>
  <cols>
    <col min="1" max="2" width="5" style="1" bestFit="1" customWidth="1"/>
    <col min="3" max="4" width="9" style="1" bestFit="1" customWidth="1"/>
    <col min="5" max="6" width="11" style="1" bestFit="1" customWidth="1"/>
    <col min="7" max="7" width="43.109375" style="1" bestFit="1" customWidth="1"/>
    <col min="8" max="8" width="7.5546875" style="1" bestFit="1" customWidth="1"/>
    <col min="9" max="10" width="9" style="1" bestFit="1" customWidth="1"/>
    <col min="11" max="11" width="14" style="3" bestFit="1" customWidth="1"/>
    <col min="12" max="12" width="9.88671875" style="3" bestFit="1" customWidth="1"/>
    <col min="13" max="13" width="13.109375" style="51" bestFit="1" customWidth="1"/>
    <col min="14" max="14" width="9" style="1" bestFit="1" customWidth="1"/>
    <col min="15" max="15" width="26.109375" style="3" bestFit="1" customWidth="1"/>
    <col min="16" max="16" width="5.88671875" style="3" bestFit="1" customWidth="1"/>
    <col min="17" max="17" width="9.88671875" style="3" bestFit="1" customWidth="1"/>
    <col min="18" max="18" width="17" style="3" bestFit="1" customWidth="1"/>
    <col min="19" max="20" width="15.5546875" style="3" bestFit="1" customWidth="1"/>
    <col min="21" max="21" width="16.44140625" style="3" bestFit="1" customWidth="1"/>
    <col min="22" max="22" width="13.21875" style="3" bestFit="1" customWidth="1"/>
    <col min="23" max="23" width="13.5546875" style="3" bestFit="1" customWidth="1"/>
    <col min="24" max="24" width="14.109375" style="1" bestFit="1" customWidth="1"/>
    <col min="25" max="25" width="14" style="7" bestFit="1" customWidth="1"/>
    <col min="26" max="26" width="9.88671875" style="7" bestFit="1" customWidth="1"/>
    <col min="27" max="28" width="24.21875" style="1" bestFit="1" customWidth="1"/>
    <col min="29" max="16384" width="8.88671875" style="1"/>
  </cols>
  <sheetData>
    <row r="1" spans="1:28" s="9" customFormat="1" ht="16.2" customHeight="1">
      <c r="A1" s="5" t="s">
        <v>1</v>
      </c>
      <c r="B1" s="5" t="s">
        <v>2</v>
      </c>
      <c r="C1" s="5" t="s">
        <v>139</v>
      </c>
      <c r="D1" s="5" t="s">
        <v>140</v>
      </c>
      <c r="E1" s="5" t="s">
        <v>121</v>
      </c>
      <c r="F1" s="5" t="s">
        <v>53</v>
      </c>
      <c r="G1" s="5" t="s">
        <v>161</v>
      </c>
      <c r="H1" s="5" t="s">
        <v>78</v>
      </c>
      <c r="I1" s="5" t="s">
        <v>54</v>
      </c>
      <c r="J1" s="5" t="s">
        <v>109</v>
      </c>
      <c r="K1" s="15" t="s">
        <v>55</v>
      </c>
      <c r="L1" s="15" t="s">
        <v>141</v>
      </c>
      <c r="M1" s="50" t="s">
        <v>56</v>
      </c>
      <c r="N1" s="5" t="s">
        <v>57</v>
      </c>
      <c r="O1" s="15" t="s">
        <v>58</v>
      </c>
      <c r="P1" s="15" t="s">
        <v>59</v>
      </c>
      <c r="Q1" s="15" t="s">
        <v>52</v>
      </c>
      <c r="R1" s="15" t="s">
        <v>60</v>
      </c>
      <c r="S1" s="15" t="s">
        <v>61</v>
      </c>
      <c r="T1" s="15" t="s">
        <v>62</v>
      </c>
      <c r="U1" s="15" t="s">
        <v>63</v>
      </c>
      <c r="V1" s="15" t="s">
        <v>64</v>
      </c>
      <c r="W1" s="15" t="s">
        <v>65</v>
      </c>
      <c r="X1" s="5" t="s">
        <v>66</v>
      </c>
      <c r="Y1" s="6" t="s">
        <v>142</v>
      </c>
      <c r="Z1" s="6" t="s">
        <v>67</v>
      </c>
      <c r="AA1" s="6" t="s">
        <v>143</v>
      </c>
      <c r="AB1" s="6" t="s">
        <v>144</v>
      </c>
    </row>
    <row r="2" spans="1:28" s="56" customFormat="1">
      <c r="K2" s="60"/>
      <c r="L2" s="60"/>
      <c r="M2" s="61"/>
      <c r="P2" s="60"/>
      <c r="Q2" s="60"/>
      <c r="R2" s="60"/>
      <c r="S2" s="60"/>
      <c r="T2" s="60"/>
      <c r="U2" s="60"/>
      <c r="V2" s="60"/>
      <c r="W2" s="60"/>
      <c r="Y2" s="59"/>
      <c r="Z2" s="57"/>
      <c r="AA2" s="57"/>
      <c r="AB2" s="57"/>
    </row>
    <row r="3" spans="1:28">
      <c r="G3" s="9"/>
    </row>
    <row r="4" spans="1:28">
      <c r="G4" s="9"/>
    </row>
    <row r="5" spans="1:28">
      <c r="G5" s="9"/>
    </row>
    <row r="6" spans="1:28">
      <c r="G6" s="9"/>
    </row>
    <row r="14" spans="1:28">
      <c r="N14" s="1" t="s">
        <v>159</v>
      </c>
    </row>
  </sheetData>
  <pageMargins left="0.75" right="0.75" top="1" bottom="1" header="0.5" footer="0.5"/>
  <headerFooter alignWithMargins="0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1:L2"/>
  <sheetViews>
    <sheetView zoomScaleNormal="100" workbookViewId="0">
      <pane ySplit="1" topLeftCell="A2" activePane="bottomLeft" state="frozen"/>
      <selection activeCell="M25" sqref="M25"/>
      <selection pane="bottomLeft" activeCell="F21" sqref="F21"/>
    </sheetView>
  </sheetViews>
  <sheetFormatPr defaultRowHeight="13.2"/>
  <cols>
    <col min="1" max="1" width="14.33203125" style="1" bestFit="1" customWidth="1"/>
    <col min="2" max="2" width="5.5546875" style="7" bestFit="1" customWidth="1"/>
    <col min="3" max="3" width="9.21875" style="1" bestFit="1" customWidth="1"/>
    <col min="4" max="4" width="17" style="7" bestFit="1" customWidth="1"/>
    <col min="5" max="7" width="15.5546875" style="7" bestFit="1" customWidth="1"/>
    <col min="8" max="8" width="16.44140625" style="7" bestFit="1" customWidth="1"/>
    <col min="9" max="9" width="13.88671875" style="7" bestFit="1" customWidth="1"/>
    <col min="10" max="10" width="13.44140625" style="7" bestFit="1" customWidth="1"/>
    <col min="11" max="11" width="15" style="7" bestFit="1" customWidth="1"/>
    <col min="12" max="12" width="16.109375" style="1" bestFit="1" customWidth="1"/>
    <col min="13" max="16384" width="8.88671875" style="1"/>
  </cols>
  <sheetData>
    <row r="1" spans="1:12" s="4" customFormat="1" ht="19.2" customHeight="1">
      <c r="A1" s="10" t="s">
        <v>53</v>
      </c>
      <c r="B1" s="10" t="s">
        <v>110</v>
      </c>
      <c r="C1" s="10" t="s">
        <v>111</v>
      </c>
      <c r="D1" s="10" t="s">
        <v>112</v>
      </c>
      <c r="E1" s="10" t="s">
        <v>113</v>
      </c>
      <c r="F1" s="10" t="s">
        <v>114</v>
      </c>
      <c r="G1" s="10" t="s">
        <v>115</v>
      </c>
      <c r="H1" s="10" t="s">
        <v>116</v>
      </c>
      <c r="I1" s="10" t="s">
        <v>117</v>
      </c>
      <c r="J1" s="10" t="s">
        <v>118</v>
      </c>
      <c r="K1" s="10" t="s">
        <v>119</v>
      </c>
      <c r="L1" s="10" t="s">
        <v>122</v>
      </c>
    </row>
    <row r="2" spans="1:12">
      <c r="A2" s="8"/>
      <c r="B2" s="12"/>
      <c r="C2" s="58"/>
      <c r="D2" s="13"/>
      <c r="E2" s="12"/>
      <c r="F2" s="12"/>
      <c r="G2" s="12"/>
      <c r="H2" s="12"/>
      <c r="I2" s="12"/>
      <c r="J2" s="12"/>
      <c r="K2" s="12"/>
    </row>
  </sheetData>
  <pageMargins left="0.75" right="0.75" top="1" bottom="1" header="0.5" footer="0.5"/>
  <pageSetup paperSize="9" orientation="portrait" horizontalDpi="300" verticalDpi="300" copies="0" r:id="rId1"/>
  <headerFooter alignWithMargins="0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1:I1"/>
  <sheetViews>
    <sheetView workbookViewId="0">
      <pane ySplit="1" topLeftCell="A2" activePane="bottomLeft" state="frozen"/>
      <selection activeCell="M25" sqref="M25"/>
      <selection pane="bottomLeft" activeCell="F18" sqref="F18"/>
    </sheetView>
  </sheetViews>
  <sheetFormatPr defaultRowHeight="13.2"/>
  <cols>
    <col min="1" max="1" width="16.6640625" style="1" customWidth="1"/>
    <col min="2" max="2" width="16.5546875" style="7" customWidth="1"/>
    <col min="3" max="3" width="16.77734375" style="14" bestFit="1" customWidth="1"/>
    <col min="4" max="5" width="15.33203125" style="14" bestFit="1" customWidth="1"/>
    <col min="6" max="6" width="16.21875" style="14" bestFit="1" customWidth="1"/>
    <col min="7" max="7" width="13.44140625" style="14" bestFit="1" customWidth="1"/>
    <col min="8" max="8" width="13.33203125" style="14" bestFit="1" customWidth="1"/>
    <col min="9" max="9" width="14.77734375" style="14" bestFit="1" customWidth="1"/>
    <col min="10" max="16384" width="8.88671875" style="1"/>
  </cols>
  <sheetData>
    <row r="1" spans="1:9">
      <c r="A1" s="10" t="s">
        <v>51</v>
      </c>
      <c r="B1" s="11" t="s">
        <v>120</v>
      </c>
      <c r="C1" s="6" t="s">
        <v>112</v>
      </c>
      <c r="D1" s="6" t="s">
        <v>114</v>
      </c>
      <c r="E1" s="6" t="s">
        <v>115</v>
      </c>
      <c r="F1" s="6" t="s">
        <v>116</v>
      </c>
      <c r="G1" s="6" t="s">
        <v>117</v>
      </c>
      <c r="H1" s="6" t="s">
        <v>118</v>
      </c>
      <c r="I1" s="6" t="s">
        <v>119</v>
      </c>
    </row>
  </sheetData>
  <pageMargins left="0.75" right="0.75" top="1" bottom="1" header="0.5" footer="0.5"/>
  <headerFooter alignWithMargins="0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>
    <outlinePr summaryBelow="0" summaryRight="0"/>
  </sheetPr>
  <dimension ref="A1:AV83"/>
  <sheetViews>
    <sheetView zoomScaleNormal="100" workbookViewId="0">
      <pane xSplit="2" ySplit="3" topLeftCell="C4" activePane="bottomRight" state="frozen"/>
      <selection activeCell="M25" sqref="M25"/>
      <selection pane="topRight" activeCell="M25" sqref="M25"/>
      <selection pane="bottomLeft" activeCell="M25" sqref="M25"/>
      <selection pane="bottomRight" activeCell="B57" sqref="B57:F57"/>
    </sheetView>
  </sheetViews>
  <sheetFormatPr defaultRowHeight="11.4"/>
  <cols>
    <col min="1" max="1" width="14.21875" style="29" hidden="1" customWidth="1"/>
    <col min="2" max="2" width="29.6640625" style="17" bestFit="1" customWidth="1"/>
    <col min="3" max="3" width="35.21875" style="17" customWidth="1"/>
    <col min="4" max="4" width="45.5546875" style="17" customWidth="1"/>
    <col min="5" max="5" width="17.33203125" style="17" bestFit="1" customWidth="1"/>
    <col min="6" max="6" width="47.6640625" style="17" bestFit="1" customWidth="1"/>
    <col min="7" max="7" width="44" style="17" bestFit="1" customWidth="1"/>
    <col min="8" max="8" width="50.6640625" style="17" bestFit="1" customWidth="1"/>
    <col min="9" max="9" width="18.21875" style="17" bestFit="1" customWidth="1"/>
    <col min="10" max="10" width="20.77734375" style="17" bestFit="1" customWidth="1"/>
    <col min="11" max="11" width="33.21875" style="17" bestFit="1" customWidth="1"/>
    <col min="12" max="12" width="31.21875" style="17" bestFit="1" customWidth="1"/>
    <col min="13" max="13" width="23.21875" style="17" bestFit="1" customWidth="1"/>
    <col min="14" max="14" width="29.21875" style="17" bestFit="1" customWidth="1"/>
    <col min="15" max="16" width="25.44140625" style="17" bestFit="1" customWidth="1"/>
    <col min="17" max="18" width="24" style="17" bestFit="1" customWidth="1"/>
    <col min="19" max="19" width="20.109375" style="17" bestFit="1" customWidth="1"/>
    <col min="20" max="20" width="22.109375" style="17" bestFit="1" customWidth="1"/>
    <col min="21" max="21" width="27.33203125" style="17" bestFit="1" customWidth="1"/>
    <col min="22" max="22" width="25.44140625" style="17" bestFit="1" customWidth="1"/>
    <col min="23" max="23" width="27.21875" style="17" bestFit="1" customWidth="1"/>
    <col min="24" max="25" width="27.88671875" style="17" bestFit="1" customWidth="1"/>
    <col min="26" max="26" width="25.44140625" style="17" bestFit="1" customWidth="1"/>
    <col min="27" max="27" width="20.109375" style="17" bestFit="1" customWidth="1"/>
    <col min="28" max="28" width="25.44140625" style="17" bestFit="1" customWidth="1"/>
    <col min="29" max="30" width="24" style="17" bestFit="1" customWidth="1"/>
    <col min="31" max="31" width="22.109375" style="17" bestFit="1" customWidth="1"/>
    <col min="32" max="32" width="40.33203125" style="17" bestFit="1" customWidth="1"/>
    <col min="33" max="33" width="33.77734375" style="17" bestFit="1" customWidth="1"/>
    <col min="34" max="34" width="37" style="17" bestFit="1" customWidth="1"/>
    <col min="35" max="35" width="55.6640625" style="17" bestFit="1" customWidth="1"/>
    <col min="36" max="36" width="50.88671875" style="17" bestFit="1" customWidth="1"/>
    <col min="37" max="37" width="27.5546875" style="17" bestFit="1" customWidth="1"/>
    <col min="38" max="38" width="41.5546875" style="17" bestFit="1" customWidth="1"/>
    <col min="39" max="39" width="42.109375" style="17" bestFit="1" customWidth="1"/>
    <col min="40" max="40" width="24" style="17" bestFit="1" customWidth="1"/>
    <col min="41" max="41" width="29" style="17" bestFit="1" customWidth="1"/>
    <col min="42" max="42" width="24" style="17" bestFit="1" customWidth="1"/>
    <col min="43" max="43" width="25.5546875" style="17" bestFit="1" customWidth="1"/>
    <col min="44" max="44" width="20.33203125" style="17" bestFit="1" customWidth="1"/>
    <col min="45" max="45" width="10.44140625" style="17" bestFit="1" customWidth="1"/>
    <col min="46" max="46" width="8.5546875" style="17" bestFit="1" customWidth="1"/>
    <col min="47" max="47" width="13.44140625" style="17" bestFit="1" customWidth="1"/>
    <col min="48" max="48" width="8.109375" style="17" bestFit="1" customWidth="1"/>
    <col min="49" max="16384" width="8.88671875" style="18"/>
  </cols>
  <sheetData>
    <row r="1" spans="1:48" s="27" customFormat="1" ht="13.2">
      <c r="A1" s="29"/>
      <c r="B1" s="41" t="s">
        <v>4</v>
      </c>
      <c r="C1" s="40" t="s">
        <v>156</v>
      </c>
      <c r="D1" s="40" t="s">
        <v>157</v>
      </c>
      <c r="E1" s="40" t="s">
        <v>6</v>
      </c>
      <c r="F1" s="40" t="s">
        <v>7</v>
      </c>
      <c r="G1" s="40" t="s">
        <v>8</v>
      </c>
      <c r="H1" s="40" t="s">
        <v>9</v>
      </c>
      <c r="I1" s="40" t="s">
        <v>10</v>
      </c>
      <c r="J1" s="40" t="s">
        <v>11</v>
      </c>
      <c r="K1" s="40" t="s">
        <v>12</v>
      </c>
      <c r="L1" s="40" t="s">
        <v>13</v>
      </c>
      <c r="M1" s="40" t="s">
        <v>14</v>
      </c>
      <c r="N1" s="40" t="s">
        <v>15</v>
      </c>
      <c r="O1" s="40" t="s">
        <v>16</v>
      </c>
      <c r="P1" s="40" t="s">
        <v>17</v>
      </c>
      <c r="Q1" s="40" t="s">
        <v>18</v>
      </c>
      <c r="R1" s="40" t="s">
        <v>19</v>
      </c>
      <c r="S1" s="40" t="s">
        <v>20</v>
      </c>
      <c r="T1" s="40" t="s">
        <v>21</v>
      </c>
      <c r="U1" s="40" t="s">
        <v>22</v>
      </c>
      <c r="V1" s="40" t="s">
        <v>23</v>
      </c>
      <c r="W1" s="40" t="s">
        <v>24</v>
      </c>
      <c r="X1" s="40" t="s">
        <v>25</v>
      </c>
      <c r="Y1" s="40" t="s">
        <v>26</v>
      </c>
      <c r="Z1" s="40" t="s">
        <v>27</v>
      </c>
      <c r="AA1" s="40" t="s">
        <v>28</v>
      </c>
      <c r="AB1" s="40" t="s">
        <v>29</v>
      </c>
      <c r="AC1" s="40" t="s">
        <v>30</v>
      </c>
      <c r="AD1" s="40" t="s">
        <v>31</v>
      </c>
      <c r="AE1" s="40" t="s">
        <v>32</v>
      </c>
      <c r="AF1" s="40" t="s">
        <v>33</v>
      </c>
      <c r="AG1" s="40" t="s">
        <v>34</v>
      </c>
      <c r="AH1" s="40" t="s">
        <v>35</v>
      </c>
      <c r="AI1" s="40" t="s">
        <v>36</v>
      </c>
      <c r="AJ1" s="40" t="s">
        <v>37</v>
      </c>
      <c r="AK1" s="40" t="s">
        <v>38</v>
      </c>
      <c r="AL1" s="40" t="s">
        <v>39</v>
      </c>
      <c r="AM1" s="40" t="s">
        <v>40</v>
      </c>
      <c r="AN1" s="40" t="s">
        <v>41</v>
      </c>
      <c r="AO1" s="40" t="s">
        <v>42</v>
      </c>
      <c r="AP1" s="40" t="s">
        <v>43</v>
      </c>
      <c r="AQ1" s="40" t="s">
        <v>44</v>
      </c>
      <c r="AR1" s="40" t="s">
        <v>162</v>
      </c>
      <c r="AS1" s="40"/>
      <c r="AT1" s="40"/>
      <c r="AU1" s="40"/>
      <c r="AV1" s="40"/>
    </row>
    <row r="2" spans="1:48" s="27" customFormat="1" ht="13.2">
      <c r="A2" s="29"/>
      <c r="B2" s="41" t="s">
        <v>5</v>
      </c>
      <c r="C2" s="40" t="str">
        <f>[1]!HsDescription(conn,"Entity#"&amp;C1)</f>
        <v>#NEED_REFRESH</v>
      </c>
      <c r="D2" s="40" t="str">
        <f>[1]!HsDescription(conn,"Entity#"&amp;D1)</f>
        <v>#NEED_REFRESH</v>
      </c>
      <c r="E2" s="40" t="str">
        <f>[1]!HsDescription(conn,"Entity#"&amp;E1)</f>
        <v>#NEED_REFRESH</v>
      </c>
      <c r="F2" s="40" t="str">
        <f>[1]!HsDescription(conn,"Entity#"&amp;F1)</f>
        <v>#NEED_REFRESH</v>
      </c>
      <c r="G2" s="40" t="str">
        <f>[1]!HsDescription(conn,"Entity#"&amp;G1)</f>
        <v>#NEED_REFRESH</v>
      </c>
      <c r="H2" s="40" t="str">
        <f>[1]!HsDescription(conn,"Entity#"&amp;H1)</f>
        <v>#NEED_REFRESH</v>
      </c>
      <c r="I2" s="40" t="str">
        <f>[1]!HsDescription(conn,"Entity#"&amp;I1)</f>
        <v>#NEED_REFRESH</v>
      </c>
      <c r="J2" s="40" t="str">
        <f>[1]!HsDescription(conn,"Entity#"&amp;J1)</f>
        <v>#NEED_REFRESH</v>
      </c>
      <c r="K2" s="40" t="str">
        <f>[1]!HsDescription(conn,"Entity#"&amp;K1)</f>
        <v>#NEED_REFRESH</v>
      </c>
      <c r="L2" s="40" t="str">
        <f>[1]!HsDescription(conn,"Entity#"&amp;L1)</f>
        <v>#NEED_REFRESH</v>
      </c>
      <c r="M2" s="40" t="str">
        <f>[1]!HsDescription(conn,"Entity#"&amp;M1)</f>
        <v>#NEED_REFRESH</v>
      </c>
      <c r="N2" s="40" t="str">
        <f>[1]!HsDescription(conn,"Entity#"&amp;N1)</f>
        <v>#NEED_REFRESH</v>
      </c>
      <c r="O2" s="40" t="str">
        <f>[1]!HsDescription(conn,"Entity#"&amp;O1)</f>
        <v>#NEED_REFRESH</v>
      </c>
      <c r="P2" s="40" t="str">
        <f>[1]!HsDescription(conn,"Entity#"&amp;P1)</f>
        <v>#NEED_REFRESH</v>
      </c>
      <c r="Q2" s="40" t="str">
        <f>[1]!HsDescription(conn,"Entity#"&amp;Q1)</f>
        <v>#NEED_REFRESH</v>
      </c>
      <c r="R2" s="40" t="str">
        <f>[1]!HsDescription(conn,"Entity#"&amp;R1)</f>
        <v>#NEED_REFRESH</v>
      </c>
      <c r="S2" s="40" t="str">
        <f>[1]!HsDescription(conn,"Entity#"&amp;S1)</f>
        <v>#NEED_REFRESH</v>
      </c>
      <c r="T2" s="40" t="str">
        <f>[1]!HsDescription(conn,"Entity#"&amp;T1)</f>
        <v>#NEED_REFRESH</v>
      </c>
      <c r="U2" s="40" t="str">
        <f>[1]!HsDescription(conn,"Entity#"&amp;U1)</f>
        <v>#NEED_REFRESH</v>
      </c>
      <c r="V2" s="40" t="str">
        <f>[1]!HsDescription(conn,"Entity#"&amp;V1)</f>
        <v>#NEED_REFRESH</v>
      </c>
      <c r="W2" s="40" t="str">
        <f>[1]!HsDescription(conn,"Entity#"&amp;W1)</f>
        <v>#NEED_REFRESH</v>
      </c>
      <c r="X2" s="40" t="str">
        <f>[1]!HsDescription(conn,"Entity#"&amp;X1)</f>
        <v>#NEED_REFRESH</v>
      </c>
      <c r="Y2" s="40" t="str">
        <f>[1]!HsDescription(conn,"Entity#"&amp;Y1)</f>
        <v>#NEED_REFRESH</v>
      </c>
      <c r="Z2" s="40" t="str">
        <f>[1]!HsDescription(conn,"Entity#"&amp;Z1)</f>
        <v>#NEED_REFRESH</v>
      </c>
      <c r="AA2" s="40" t="str">
        <f>[1]!HsDescription(conn,"Entity#"&amp;AA1)</f>
        <v>#NEED_REFRESH</v>
      </c>
      <c r="AB2" s="40" t="str">
        <f>[1]!HsDescription(conn,"Entity#"&amp;AB1)</f>
        <v>#NEED_REFRESH</v>
      </c>
      <c r="AC2" s="40" t="str">
        <f>[1]!HsDescription(conn,"Entity#"&amp;AC1)</f>
        <v>#NEED_REFRESH</v>
      </c>
      <c r="AD2" s="40" t="str">
        <f>[1]!HsDescription(conn,"Entity#"&amp;AD1)</f>
        <v>#NEED_REFRESH</v>
      </c>
      <c r="AE2" s="40" t="str">
        <f>[1]!HsDescription(conn,"Entity#"&amp;AE1)</f>
        <v>#NEED_REFRESH</v>
      </c>
      <c r="AF2" s="40" t="str">
        <f>[1]!HsDescription(conn,"Entity#"&amp;AF1)</f>
        <v>#NEED_REFRESH</v>
      </c>
      <c r="AG2" s="40" t="str">
        <f>[1]!HsDescription(conn,"Entity#"&amp;AG1)</f>
        <v>#NEED_REFRESH</v>
      </c>
      <c r="AH2" s="40" t="str">
        <f>[1]!HsDescription(conn,"Entity#"&amp;AH1)</f>
        <v>#NEED_REFRESH</v>
      </c>
      <c r="AI2" s="40" t="str">
        <f>[1]!HsDescription(conn,"Entity#"&amp;AI1)</f>
        <v>#NEED_REFRESH</v>
      </c>
      <c r="AJ2" s="40" t="str">
        <f>[1]!HsDescription(conn,"Entity#"&amp;AJ1)</f>
        <v>#NEED_REFRESH</v>
      </c>
      <c r="AK2" s="40" t="str">
        <f>[1]!HsDescription(conn,"Entity#"&amp;AK1)</f>
        <v>#NEED_REFRESH</v>
      </c>
      <c r="AL2" s="40" t="str">
        <f>[1]!HsDescription(conn,"Entity#"&amp;AL1)</f>
        <v>#NEED_REFRESH</v>
      </c>
      <c r="AM2" s="40" t="str">
        <f>[1]!HsDescription(conn,"Entity#"&amp;AM1)</f>
        <v>#NEED_REFRESH</v>
      </c>
      <c r="AN2" s="40" t="str">
        <f>[1]!HsDescription(conn,"Entity#"&amp;AN1)</f>
        <v>#NEED_REFRESH</v>
      </c>
      <c r="AO2" s="40" t="str">
        <f>[1]!HsDescription(conn,"Entity#"&amp;AO1)</f>
        <v>#NEED_REFRESH</v>
      </c>
      <c r="AP2" s="40" t="str">
        <f>[1]!HsDescription(conn,"Entity#"&amp;AP1)</f>
        <v>#NEED_REFRESH</v>
      </c>
      <c r="AQ2" s="40" t="str">
        <f>[1]!HsDescription(conn,"Entity#"&amp;AQ1)</f>
        <v>#NEED_REFRESH</v>
      </c>
      <c r="AR2" s="40" t="str">
        <f>[1]!HsDescription(conn,"Entity#"&amp;AR1)</f>
        <v>#NEED_REFRESH</v>
      </c>
      <c r="AS2" s="40" t="s">
        <v>153</v>
      </c>
      <c r="AT2" s="40" t="s">
        <v>147</v>
      </c>
      <c r="AU2" s="40" t="s">
        <v>50</v>
      </c>
      <c r="AV2" s="40" t="s">
        <v>50</v>
      </c>
    </row>
    <row r="3" spans="1:48" s="27" customFormat="1" ht="13.2">
      <c r="A3" s="29"/>
      <c r="B3" s="41" t="s">
        <v>68</v>
      </c>
      <c r="C3" s="40" t="s">
        <v>75</v>
      </c>
      <c r="D3" s="40" t="s">
        <v>81</v>
      </c>
      <c r="E3" s="40" t="s">
        <v>75</v>
      </c>
      <c r="F3" s="40" t="s">
        <v>75</v>
      </c>
      <c r="G3" s="40" t="s">
        <v>99</v>
      </c>
      <c r="H3" s="40" t="s">
        <v>100</v>
      </c>
      <c r="I3" s="40" t="s">
        <v>101</v>
      </c>
      <c r="J3" s="40" t="s">
        <v>102</v>
      </c>
      <c r="K3" s="40" t="s">
        <v>103</v>
      </c>
      <c r="L3" s="40" t="s">
        <v>104</v>
      </c>
      <c r="M3" s="40" t="s">
        <v>75</v>
      </c>
      <c r="N3" s="40" t="s">
        <v>104</v>
      </c>
      <c r="O3" s="40" t="s">
        <v>104</v>
      </c>
      <c r="P3" s="40" t="s">
        <v>104</v>
      </c>
      <c r="Q3" s="40" t="s">
        <v>104</v>
      </c>
      <c r="R3" s="40" t="s">
        <v>104</v>
      </c>
      <c r="S3" s="40" t="s">
        <v>104</v>
      </c>
      <c r="T3" s="40" t="s">
        <v>104</v>
      </c>
      <c r="U3" s="40" t="s">
        <v>104</v>
      </c>
      <c r="V3" s="40" t="s">
        <v>104</v>
      </c>
      <c r="W3" s="40" t="s">
        <v>75</v>
      </c>
      <c r="X3" s="40" t="s">
        <v>104</v>
      </c>
      <c r="Y3" s="40" t="s">
        <v>99</v>
      </c>
      <c r="Z3" s="40" t="s">
        <v>104</v>
      </c>
      <c r="AA3" s="40" t="s">
        <v>104</v>
      </c>
      <c r="AB3" s="40" t="s">
        <v>104</v>
      </c>
      <c r="AC3" s="40" t="s">
        <v>104</v>
      </c>
      <c r="AD3" s="40" t="s">
        <v>104</v>
      </c>
      <c r="AE3" s="40" t="s">
        <v>104</v>
      </c>
      <c r="AF3" s="40" t="s">
        <v>75</v>
      </c>
      <c r="AG3" s="40" t="s">
        <v>75</v>
      </c>
      <c r="AH3" s="40" t="s">
        <v>75</v>
      </c>
      <c r="AI3" s="40" t="s">
        <v>75</v>
      </c>
      <c r="AJ3" s="40" t="s">
        <v>75</v>
      </c>
      <c r="AK3" s="40" t="s">
        <v>105</v>
      </c>
      <c r="AL3" s="40" t="s">
        <v>75</v>
      </c>
      <c r="AM3" s="40" t="s">
        <v>75</v>
      </c>
      <c r="AN3" s="40" t="s">
        <v>81</v>
      </c>
      <c r="AO3" s="40" t="s">
        <v>75</v>
      </c>
      <c r="AP3" s="40" t="s">
        <v>75</v>
      </c>
      <c r="AQ3" s="40" t="s">
        <v>75</v>
      </c>
      <c r="AR3" s="40" t="s">
        <v>75</v>
      </c>
      <c r="AS3" s="40" t="s">
        <v>75</v>
      </c>
      <c r="AT3" s="40" t="s">
        <v>75</v>
      </c>
      <c r="AU3" s="40" t="s">
        <v>75</v>
      </c>
      <c r="AV3" s="40" t="s">
        <v>93</v>
      </c>
    </row>
    <row r="4" spans="1:48" s="16" customFormat="1">
      <c r="A4" s="29"/>
      <c r="B4" s="55" t="s">
        <v>152</v>
      </c>
      <c r="C4" s="31"/>
      <c r="D4" s="31"/>
      <c r="E4" s="31"/>
      <c r="F4" s="31"/>
      <c r="G4" s="31"/>
      <c r="H4" s="31"/>
      <c r="I4" s="31"/>
      <c r="J4" s="31"/>
      <c r="K4" s="31"/>
      <c r="L4" s="31"/>
      <c r="M4" s="31"/>
      <c r="N4" s="31"/>
      <c r="O4" s="31"/>
      <c r="P4" s="31"/>
      <c r="Q4" s="31"/>
      <c r="R4" s="31"/>
      <c r="S4" s="31"/>
      <c r="T4" s="31"/>
      <c r="U4" s="31"/>
      <c r="V4" s="31"/>
      <c r="W4" s="31"/>
      <c r="X4" s="31"/>
      <c r="Y4" s="31"/>
      <c r="Z4" s="31"/>
      <c r="AA4" s="31"/>
      <c r="AB4" s="31"/>
      <c r="AC4" s="31"/>
      <c r="AD4" s="31"/>
      <c r="AE4" s="31"/>
      <c r="AF4" s="31"/>
      <c r="AG4" s="31"/>
      <c r="AH4" s="31"/>
      <c r="AI4" s="31"/>
      <c r="AJ4" s="31"/>
      <c r="AK4" s="31"/>
      <c r="AL4" s="31"/>
      <c r="AM4" s="31"/>
      <c r="AN4" s="31"/>
      <c r="AO4" s="31"/>
      <c r="AP4" s="31"/>
      <c r="AQ4" s="31"/>
      <c r="AR4" s="31"/>
      <c r="AS4" s="31"/>
      <c r="AT4" s="31"/>
      <c r="AU4" s="32"/>
      <c r="AV4" s="32"/>
    </row>
    <row r="5" spans="1:48" s="16" customFormat="1">
      <c r="A5" s="29" t="s">
        <v>94</v>
      </c>
      <c r="B5" s="28" t="s">
        <v>69</v>
      </c>
      <c r="C5" s="31" t="str">
        <f>[1]!HsGetValue(conn,"Entity#"&amp;C$1&amp;";Account#"&amp;$A5&amp;大表科目本位幣調整前)</f>
        <v>#NEED_REFRESH</v>
      </c>
      <c r="D5" s="31" t="str">
        <f>[1]!HsGetValue(conn,"Entity#"&amp;D$1&amp;";Account#"&amp;$A5&amp;大表科目本位幣調整前)</f>
        <v>#NEED_REFRESH</v>
      </c>
      <c r="E5" s="31"/>
      <c r="F5" s="31"/>
      <c r="G5" s="31"/>
      <c r="H5" s="31"/>
      <c r="I5" s="31"/>
      <c r="J5" s="31"/>
      <c r="K5" s="31"/>
      <c r="L5" s="31"/>
      <c r="M5" s="31"/>
      <c r="N5" s="31"/>
      <c r="O5" s="31"/>
      <c r="P5" s="31"/>
      <c r="Q5" s="31"/>
      <c r="R5" s="31"/>
      <c r="S5" s="31"/>
      <c r="T5" s="31"/>
      <c r="U5" s="31"/>
      <c r="V5" s="31"/>
      <c r="W5" s="31"/>
      <c r="X5" s="31"/>
      <c r="Y5" s="31"/>
      <c r="Z5" s="31"/>
      <c r="AA5" s="31"/>
      <c r="AB5" s="31"/>
      <c r="AC5" s="31"/>
      <c r="AD5" s="31"/>
      <c r="AE5" s="31"/>
      <c r="AF5" s="31"/>
      <c r="AG5" s="31"/>
      <c r="AH5" s="31"/>
      <c r="AI5" s="31"/>
      <c r="AJ5" s="31"/>
      <c r="AK5" s="31"/>
      <c r="AL5" s="31"/>
      <c r="AM5" s="31"/>
      <c r="AN5" s="31"/>
      <c r="AO5" s="31"/>
      <c r="AP5" s="31"/>
      <c r="AQ5" s="31"/>
      <c r="AR5" s="31"/>
      <c r="AS5" s="31"/>
      <c r="AT5" s="31"/>
      <c r="AU5" s="32"/>
      <c r="AV5" s="32"/>
    </row>
    <row r="6" spans="1:48" s="16" customFormat="1">
      <c r="A6" s="29" t="s">
        <v>124</v>
      </c>
      <c r="B6" s="28" t="s">
        <v>123</v>
      </c>
      <c r="C6" s="31" t="str">
        <f>[1]!HsGetValue(conn,"Entity#"&amp;C$1&amp;";Account#"&amp;$A6&amp;大表科目本位幣調整前)</f>
        <v>#NEED_REFRESH</v>
      </c>
      <c r="D6" s="31" t="str">
        <f>[1]!HsGetValue(conn,"Entity#"&amp;D$1&amp;";Account#"&amp;$A6&amp;大表科目本位幣調整前)</f>
        <v>#NEED_REFRESH</v>
      </c>
      <c r="E6" s="31"/>
      <c r="F6" s="31"/>
      <c r="G6" s="31"/>
      <c r="H6" s="31"/>
      <c r="I6" s="31"/>
      <c r="J6" s="31"/>
      <c r="K6" s="31"/>
      <c r="L6" s="31"/>
      <c r="M6" s="31"/>
      <c r="N6" s="31"/>
      <c r="O6" s="31"/>
      <c r="P6" s="31"/>
      <c r="Q6" s="31"/>
      <c r="R6" s="31"/>
      <c r="S6" s="31"/>
      <c r="T6" s="31"/>
      <c r="U6" s="31"/>
      <c r="V6" s="31"/>
      <c r="W6" s="31"/>
      <c r="X6" s="31"/>
      <c r="Y6" s="31"/>
      <c r="Z6" s="31"/>
      <c r="AA6" s="31"/>
      <c r="AB6" s="31"/>
      <c r="AC6" s="31"/>
      <c r="AD6" s="31"/>
      <c r="AE6" s="31"/>
      <c r="AF6" s="31"/>
      <c r="AG6" s="31"/>
      <c r="AH6" s="31"/>
      <c r="AI6" s="31"/>
      <c r="AJ6" s="31"/>
      <c r="AK6" s="31"/>
      <c r="AL6" s="31"/>
      <c r="AM6" s="31"/>
      <c r="AN6" s="31"/>
      <c r="AO6" s="31"/>
      <c r="AP6" s="31"/>
      <c r="AQ6" s="31"/>
      <c r="AR6" s="31"/>
      <c r="AS6" s="31"/>
      <c r="AT6" s="31"/>
      <c r="AU6" s="32"/>
      <c r="AV6" s="32"/>
    </row>
    <row r="7" spans="1:48" s="16" customFormat="1">
      <c r="A7" s="29" t="s">
        <v>95</v>
      </c>
      <c r="B7" s="28" t="s">
        <v>70</v>
      </c>
      <c r="C7" s="31" t="str">
        <f>[1]!HsGetValue(conn,"Entity#"&amp;C$1&amp;";Account#"&amp;$A7&amp;大表科目本位幣調整前)</f>
        <v>#NEED_REFRESH</v>
      </c>
      <c r="D7" s="31" t="str">
        <f>[1]!HsGetValue(conn,"Entity#"&amp;D$1&amp;";Account#"&amp;$A7&amp;大表科目本位幣調整前)</f>
        <v>#NEED_REFRESH</v>
      </c>
      <c r="E7" s="31"/>
      <c r="F7" s="31"/>
      <c r="G7" s="31"/>
      <c r="H7" s="31"/>
      <c r="I7" s="31"/>
      <c r="J7" s="31"/>
      <c r="K7" s="31"/>
      <c r="L7" s="31"/>
      <c r="M7" s="31"/>
      <c r="N7" s="31"/>
      <c r="O7" s="31"/>
      <c r="P7" s="31"/>
      <c r="Q7" s="31"/>
      <c r="R7" s="31"/>
      <c r="S7" s="31"/>
      <c r="T7" s="31"/>
      <c r="U7" s="31"/>
      <c r="V7" s="31"/>
      <c r="W7" s="31"/>
      <c r="X7" s="31"/>
      <c r="Y7" s="31"/>
      <c r="Z7" s="31"/>
      <c r="AA7" s="31"/>
      <c r="AB7" s="31"/>
      <c r="AC7" s="31"/>
      <c r="AD7" s="31"/>
      <c r="AE7" s="31"/>
      <c r="AF7" s="31"/>
      <c r="AG7" s="31"/>
      <c r="AH7" s="31"/>
      <c r="AI7" s="31"/>
      <c r="AJ7" s="31"/>
      <c r="AK7" s="31"/>
      <c r="AL7" s="31"/>
      <c r="AM7" s="31"/>
      <c r="AN7" s="31"/>
      <c r="AO7" s="31"/>
      <c r="AP7" s="31"/>
      <c r="AQ7" s="31"/>
      <c r="AR7" s="31"/>
      <c r="AS7" s="31"/>
      <c r="AT7" s="31"/>
      <c r="AU7" s="32"/>
      <c r="AV7" s="32"/>
    </row>
    <row r="8" spans="1:48" s="16" customFormat="1">
      <c r="A8" s="29" t="s">
        <v>96</v>
      </c>
      <c r="B8" s="28" t="s">
        <v>71</v>
      </c>
      <c r="C8" s="31" t="str">
        <f>[1]!HsGetValue(conn,"Entity#"&amp;C$1&amp;";Account#"&amp;$A8&amp;大表科目本位幣調整前)</f>
        <v>#NEED_REFRESH</v>
      </c>
      <c r="D8" s="31" t="str">
        <f>[1]!HsGetValue(conn,"Entity#"&amp;D$1&amp;";Account#"&amp;$A8&amp;大表科目本位幣調整前)</f>
        <v>#NEED_REFRESH</v>
      </c>
      <c r="E8" s="31"/>
      <c r="F8" s="31"/>
      <c r="G8" s="31"/>
      <c r="H8" s="31"/>
      <c r="I8" s="31"/>
      <c r="J8" s="31"/>
      <c r="K8" s="31"/>
      <c r="L8" s="31"/>
      <c r="M8" s="31"/>
      <c r="N8" s="31"/>
      <c r="O8" s="31"/>
      <c r="P8" s="31"/>
      <c r="Q8" s="31"/>
      <c r="R8" s="31"/>
      <c r="S8" s="31"/>
      <c r="T8" s="31"/>
      <c r="U8" s="31"/>
      <c r="V8" s="31"/>
      <c r="W8" s="31"/>
      <c r="X8" s="31"/>
      <c r="Y8" s="31"/>
      <c r="Z8" s="31"/>
      <c r="AA8" s="31"/>
      <c r="AB8" s="31"/>
      <c r="AC8" s="31"/>
      <c r="AD8" s="31"/>
      <c r="AE8" s="31"/>
      <c r="AF8" s="31"/>
      <c r="AG8" s="31"/>
      <c r="AH8" s="31"/>
      <c r="AI8" s="31"/>
      <c r="AJ8" s="31"/>
      <c r="AK8" s="31"/>
      <c r="AL8" s="31"/>
      <c r="AM8" s="31"/>
      <c r="AN8" s="31"/>
      <c r="AO8" s="31"/>
      <c r="AP8" s="31"/>
      <c r="AQ8" s="31"/>
      <c r="AR8" s="31"/>
      <c r="AS8" s="31"/>
      <c r="AT8" s="31"/>
      <c r="AU8" s="32"/>
      <c r="AV8" s="32"/>
    </row>
    <row r="9" spans="1:48" s="16" customFormat="1">
      <c r="A9" s="29"/>
      <c r="B9" s="28" t="s">
        <v>50</v>
      </c>
      <c r="C9" s="31">
        <f>SUM(C5:C8)</f>
        <v>0</v>
      </c>
      <c r="D9" s="31">
        <f>SUM(D5:D8)</f>
        <v>0</v>
      </c>
      <c r="E9" s="31"/>
      <c r="F9" s="31"/>
      <c r="G9" s="31"/>
      <c r="H9" s="31"/>
      <c r="I9" s="31"/>
      <c r="J9" s="31"/>
      <c r="K9" s="31"/>
      <c r="L9" s="31"/>
      <c r="M9" s="31"/>
      <c r="N9" s="31"/>
      <c r="O9" s="31"/>
      <c r="P9" s="31"/>
      <c r="Q9" s="31"/>
      <c r="R9" s="31"/>
      <c r="S9" s="31"/>
      <c r="T9" s="31"/>
      <c r="U9" s="31"/>
      <c r="V9" s="31"/>
      <c r="W9" s="31"/>
      <c r="X9" s="31"/>
      <c r="Y9" s="31"/>
      <c r="Z9" s="31"/>
      <c r="AA9" s="31"/>
      <c r="AB9" s="31"/>
      <c r="AC9" s="31"/>
      <c r="AD9" s="31"/>
      <c r="AE9" s="31"/>
      <c r="AF9" s="31"/>
      <c r="AG9" s="31"/>
      <c r="AH9" s="31"/>
      <c r="AI9" s="31"/>
      <c r="AJ9" s="31"/>
      <c r="AK9" s="31"/>
      <c r="AL9" s="31"/>
      <c r="AM9" s="31"/>
      <c r="AN9" s="31"/>
      <c r="AO9" s="31"/>
      <c r="AP9" s="31"/>
      <c r="AQ9" s="31"/>
      <c r="AR9" s="31"/>
      <c r="AS9" s="31"/>
      <c r="AT9" s="31"/>
      <c r="AU9" s="32"/>
      <c r="AV9" s="32"/>
    </row>
    <row r="10" spans="1:48" s="16" customFormat="1">
      <c r="A10" s="29"/>
      <c r="B10" s="55" t="s">
        <v>167</v>
      </c>
      <c r="C10" s="31"/>
      <c r="D10" s="31"/>
      <c r="E10" s="31"/>
      <c r="F10" s="31"/>
      <c r="G10" s="31"/>
      <c r="H10" s="31"/>
      <c r="I10" s="31"/>
      <c r="J10" s="31"/>
      <c r="K10" s="31"/>
      <c r="L10" s="31"/>
      <c r="M10" s="31"/>
      <c r="N10" s="31"/>
      <c r="O10" s="31"/>
      <c r="P10" s="31"/>
      <c r="Q10" s="31"/>
      <c r="R10" s="31"/>
      <c r="S10" s="31"/>
      <c r="T10" s="31"/>
      <c r="U10" s="31"/>
      <c r="V10" s="31"/>
      <c r="W10" s="31"/>
      <c r="X10" s="31"/>
      <c r="Y10" s="31"/>
      <c r="Z10" s="31"/>
      <c r="AA10" s="31"/>
      <c r="AB10" s="31"/>
      <c r="AC10" s="31"/>
      <c r="AD10" s="31"/>
      <c r="AE10" s="31"/>
      <c r="AF10" s="31"/>
      <c r="AG10" s="31"/>
      <c r="AH10" s="31"/>
      <c r="AI10" s="31"/>
      <c r="AJ10" s="31"/>
      <c r="AK10" s="31"/>
      <c r="AL10" s="31"/>
      <c r="AM10" s="31"/>
      <c r="AN10" s="31"/>
      <c r="AO10" s="31"/>
      <c r="AP10" s="31"/>
      <c r="AQ10" s="31"/>
      <c r="AR10" s="31"/>
      <c r="AS10" s="31"/>
      <c r="AT10" s="31"/>
      <c r="AU10" s="32"/>
      <c r="AV10" s="32"/>
    </row>
    <row r="11" spans="1:48" s="16" customFormat="1">
      <c r="A11" s="29"/>
      <c r="B11" s="28" t="s">
        <v>72</v>
      </c>
      <c r="C11" s="31" t="str">
        <f>[1]!HsGetValue(conn,"Entity#"&amp;C$1&amp;";Account#"&amp;$A5&amp;大表科目本位幣調整AJE)</f>
        <v>#NEED_REFRESH</v>
      </c>
      <c r="D11" s="31" t="str">
        <f>[1]!HsGetValue(conn,"Entity#"&amp;D$1&amp;";Account#"&amp;$A5&amp;大表科目本位幣調整AJE)</f>
        <v>#NEED_REFRESH</v>
      </c>
      <c r="E11" s="31"/>
      <c r="F11" s="31"/>
      <c r="G11" s="31"/>
      <c r="H11" s="31"/>
      <c r="I11" s="31"/>
      <c r="J11" s="31"/>
      <c r="K11" s="31"/>
      <c r="L11" s="31"/>
      <c r="M11" s="31"/>
      <c r="N11" s="31"/>
      <c r="O11" s="31"/>
      <c r="P11" s="31"/>
      <c r="Q11" s="31"/>
      <c r="R11" s="31"/>
      <c r="S11" s="31"/>
      <c r="T11" s="31"/>
      <c r="U11" s="31"/>
      <c r="V11" s="31"/>
      <c r="W11" s="31"/>
      <c r="X11" s="31"/>
      <c r="Y11" s="31"/>
      <c r="Z11" s="31"/>
      <c r="AA11" s="31"/>
      <c r="AB11" s="31"/>
      <c r="AC11" s="31"/>
      <c r="AD11" s="31"/>
      <c r="AE11" s="31"/>
      <c r="AF11" s="31"/>
      <c r="AG11" s="31"/>
      <c r="AH11" s="31"/>
      <c r="AI11" s="31"/>
      <c r="AJ11" s="31"/>
      <c r="AK11" s="31"/>
      <c r="AL11" s="31"/>
      <c r="AM11" s="31"/>
      <c r="AN11" s="31"/>
      <c r="AO11" s="31"/>
      <c r="AP11" s="31"/>
      <c r="AQ11" s="31"/>
      <c r="AR11" s="31"/>
      <c r="AS11" s="31"/>
      <c r="AT11" s="31"/>
      <c r="AU11" s="32"/>
      <c r="AV11" s="32"/>
    </row>
    <row r="12" spans="1:48" s="16" customFormat="1">
      <c r="A12" s="29"/>
      <c r="B12" s="28" t="s">
        <v>125</v>
      </c>
      <c r="C12" s="31" t="str">
        <f>[1]!HsGetValue(conn,"Entity#"&amp;C$1&amp;";Account#"&amp;$A6&amp;大表科目本位幣調整AJE)</f>
        <v>#NEED_REFRESH</v>
      </c>
      <c r="D12" s="31" t="str">
        <f>[1]!HsGetValue(conn,"Entity#"&amp;D$1&amp;";Account#"&amp;$A6&amp;大表科目本位幣調整AJE)</f>
        <v>#NEED_REFRESH</v>
      </c>
      <c r="E12" s="31"/>
      <c r="F12" s="31"/>
      <c r="G12" s="31"/>
      <c r="H12" s="31"/>
      <c r="I12" s="31"/>
      <c r="J12" s="31"/>
      <c r="K12" s="31"/>
      <c r="L12" s="31"/>
      <c r="M12" s="31"/>
      <c r="N12" s="31"/>
      <c r="O12" s="31"/>
      <c r="P12" s="31"/>
      <c r="Q12" s="31"/>
      <c r="R12" s="31"/>
      <c r="S12" s="31"/>
      <c r="T12" s="31"/>
      <c r="U12" s="31"/>
      <c r="V12" s="31"/>
      <c r="W12" s="31"/>
      <c r="X12" s="31"/>
      <c r="Y12" s="31"/>
      <c r="Z12" s="31"/>
      <c r="AA12" s="31"/>
      <c r="AB12" s="31"/>
      <c r="AC12" s="31"/>
      <c r="AD12" s="31"/>
      <c r="AE12" s="31"/>
      <c r="AF12" s="31"/>
      <c r="AG12" s="31"/>
      <c r="AH12" s="31"/>
      <c r="AI12" s="31"/>
      <c r="AJ12" s="31"/>
      <c r="AK12" s="31"/>
      <c r="AL12" s="31"/>
      <c r="AM12" s="31"/>
      <c r="AN12" s="31"/>
      <c r="AO12" s="31"/>
      <c r="AP12" s="31"/>
      <c r="AQ12" s="31"/>
      <c r="AR12" s="31"/>
      <c r="AS12" s="31"/>
      <c r="AT12" s="31"/>
      <c r="AU12" s="32"/>
      <c r="AV12" s="32"/>
    </row>
    <row r="13" spans="1:48" s="16" customFormat="1">
      <c r="A13" s="29"/>
      <c r="B13" s="28" t="s">
        <v>73</v>
      </c>
      <c r="C13" s="31" t="str">
        <f>[1]!HsGetValue(conn,"Entity#"&amp;C$1&amp;";Account#"&amp;$A7&amp;大表科目本位幣調整AJE)</f>
        <v>#NEED_REFRESH</v>
      </c>
      <c r="D13" s="31" t="str">
        <f>[1]!HsGetValue(conn,"Entity#"&amp;D$1&amp;";Account#"&amp;$A7&amp;大表科目本位幣調整AJE)</f>
        <v>#NEED_REFRESH</v>
      </c>
      <c r="E13" s="31"/>
      <c r="F13" s="31"/>
      <c r="G13" s="31"/>
      <c r="H13" s="31"/>
      <c r="I13" s="31"/>
      <c r="J13" s="31"/>
      <c r="K13" s="31"/>
      <c r="L13" s="31"/>
      <c r="M13" s="31"/>
      <c r="N13" s="31"/>
      <c r="O13" s="31"/>
      <c r="P13" s="31"/>
      <c r="Q13" s="31"/>
      <c r="R13" s="31"/>
      <c r="S13" s="31"/>
      <c r="T13" s="31"/>
      <c r="U13" s="31"/>
      <c r="V13" s="31"/>
      <c r="W13" s="31"/>
      <c r="X13" s="31"/>
      <c r="Y13" s="31"/>
      <c r="Z13" s="31"/>
      <c r="AA13" s="31"/>
      <c r="AB13" s="31"/>
      <c r="AC13" s="31"/>
      <c r="AD13" s="31"/>
      <c r="AE13" s="31"/>
      <c r="AF13" s="31"/>
      <c r="AG13" s="31"/>
      <c r="AH13" s="31"/>
      <c r="AI13" s="31"/>
      <c r="AJ13" s="31"/>
      <c r="AK13" s="31"/>
      <c r="AL13" s="31"/>
      <c r="AM13" s="31"/>
      <c r="AN13" s="31"/>
      <c r="AO13" s="31"/>
      <c r="AP13" s="31"/>
      <c r="AQ13" s="31"/>
      <c r="AR13" s="31"/>
      <c r="AS13" s="31"/>
      <c r="AT13" s="31"/>
      <c r="AU13" s="32"/>
      <c r="AV13" s="32"/>
    </row>
    <row r="14" spans="1:48" s="16" customFormat="1">
      <c r="A14" s="29"/>
      <c r="B14" s="20" t="s">
        <v>74</v>
      </c>
      <c r="C14" s="31" t="str">
        <f>[1]!HsGetValue(conn,"Entity#"&amp;C$1&amp;";Account#"&amp;$A8&amp;大表科目本位幣調整AJE)</f>
        <v>#NEED_REFRESH</v>
      </c>
      <c r="D14" s="31" t="str">
        <f>[1]!HsGetValue(conn,"Entity#"&amp;D$1&amp;";Account#"&amp;$A8&amp;大表科目本位幣調整AJE)</f>
        <v>#NEED_REFRESH</v>
      </c>
      <c r="E14" s="31"/>
      <c r="F14" s="31"/>
      <c r="G14" s="31"/>
      <c r="H14" s="31"/>
      <c r="I14" s="31"/>
      <c r="J14" s="31"/>
      <c r="K14" s="31"/>
      <c r="L14" s="31"/>
      <c r="M14" s="31"/>
      <c r="N14" s="31"/>
      <c r="O14" s="31"/>
      <c r="P14" s="31"/>
      <c r="Q14" s="31"/>
      <c r="R14" s="31"/>
      <c r="S14" s="31"/>
      <c r="T14" s="31"/>
      <c r="U14" s="31"/>
      <c r="V14" s="31"/>
      <c r="W14" s="31"/>
      <c r="X14" s="31"/>
      <c r="Y14" s="31"/>
      <c r="Z14" s="31"/>
      <c r="AA14" s="31"/>
      <c r="AB14" s="31"/>
      <c r="AC14" s="31"/>
      <c r="AD14" s="31"/>
      <c r="AE14" s="31"/>
      <c r="AF14" s="31"/>
      <c r="AG14" s="31"/>
      <c r="AH14" s="31"/>
      <c r="AI14" s="31"/>
      <c r="AJ14" s="31"/>
      <c r="AK14" s="31"/>
      <c r="AL14" s="31"/>
      <c r="AM14" s="31"/>
      <c r="AN14" s="31"/>
      <c r="AO14" s="31"/>
      <c r="AP14" s="31"/>
      <c r="AQ14" s="31"/>
      <c r="AR14" s="31"/>
      <c r="AS14" s="31"/>
      <c r="AT14" s="31"/>
      <c r="AU14" s="33"/>
      <c r="AV14" s="33"/>
    </row>
    <row r="15" spans="1:48" s="16" customFormat="1">
      <c r="A15" s="29"/>
      <c r="B15" s="20" t="s">
        <v>50</v>
      </c>
      <c r="C15" s="31">
        <f>SUM(C11:C14)</f>
        <v>0</v>
      </c>
      <c r="D15" s="31">
        <f>SUM(D11:D14)</f>
        <v>0</v>
      </c>
      <c r="E15" s="31"/>
      <c r="F15" s="31"/>
      <c r="G15" s="31"/>
      <c r="H15" s="31"/>
      <c r="I15" s="31"/>
      <c r="J15" s="31"/>
      <c r="K15" s="31"/>
      <c r="L15" s="31"/>
      <c r="M15" s="31"/>
      <c r="N15" s="31"/>
      <c r="O15" s="31"/>
      <c r="P15" s="31"/>
      <c r="Q15" s="31"/>
      <c r="R15" s="31"/>
      <c r="S15" s="31"/>
      <c r="T15" s="31"/>
      <c r="U15" s="31"/>
      <c r="V15" s="31"/>
      <c r="W15" s="31"/>
      <c r="X15" s="31"/>
      <c r="Y15" s="31"/>
      <c r="Z15" s="31"/>
      <c r="AA15" s="31"/>
      <c r="AB15" s="31"/>
      <c r="AC15" s="31"/>
      <c r="AD15" s="31"/>
      <c r="AE15" s="31"/>
      <c r="AF15" s="31"/>
      <c r="AG15" s="31"/>
      <c r="AH15" s="31"/>
      <c r="AI15" s="31"/>
      <c r="AJ15" s="31"/>
      <c r="AK15" s="31"/>
      <c r="AL15" s="31"/>
      <c r="AM15" s="31"/>
      <c r="AN15" s="31"/>
      <c r="AO15" s="31"/>
      <c r="AP15" s="31"/>
      <c r="AQ15" s="31"/>
      <c r="AR15" s="31"/>
      <c r="AS15" s="31"/>
      <c r="AT15" s="31"/>
      <c r="AU15" s="33"/>
      <c r="AV15" s="33"/>
    </row>
    <row r="16" spans="1:48" s="16" customFormat="1">
      <c r="A16" s="29"/>
      <c r="B16" s="55" t="s">
        <v>148</v>
      </c>
      <c r="C16" s="31"/>
      <c r="D16" s="31"/>
      <c r="E16" s="31"/>
      <c r="F16" s="31"/>
      <c r="G16" s="31"/>
      <c r="H16" s="31"/>
      <c r="I16" s="31"/>
      <c r="J16" s="31"/>
      <c r="K16" s="31"/>
      <c r="L16" s="31"/>
      <c r="M16" s="31"/>
      <c r="N16" s="31"/>
      <c r="O16" s="31"/>
      <c r="P16" s="31"/>
      <c r="Q16" s="31"/>
      <c r="R16" s="31"/>
      <c r="S16" s="31"/>
      <c r="T16" s="31"/>
      <c r="U16" s="31"/>
      <c r="V16" s="31"/>
      <c r="W16" s="31"/>
      <c r="X16" s="31"/>
      <c r="Y16" s="31"/>
      <c r="Z16" s="31"/>
      <c r="AA16" s="31"/>
      <c r="AB16" s="31"/>
      <c r="AC16" s="31"/>
      <c r="AD16" s="31"/>
      <c r="AE16" s="31"/>
      <c r="AF16" s="31"/>
      <c r="AG16" s="31"/>
      <c r="AH16" s="31"/>
      <c r="AI16" s="31"/>
      <c r="AJ16" s="31"/>
      <c r="AK16" s="31"/>
      <c r="AL16" s="31"/>
      <c r="AM16" s="31"/>
      <c r="AN16" s="31"/>
      <c r="AO16" s="31"/>
      <c r="AP16" s="31"/>
      <c r="AQ16" s="31"/>
      <c r="AR16" s="31"/>
      <c r="AS16" s="31"/>
      <c r="AT16" s="31"/>
      <c r="AU16" s="32"/>
      <c r="AV16" s="32"/>
    </row>
    <row r="17" spans="1:48" s="16" customFormat="1" ht="12" customHeight="1">
      <c r="A17" s="29" t="s">
        <v>124</v>
      </c>
      <c r="B17" s="52" t="s">
        <v>123</v>
      </c>
      <c r="C17" s="31">
        <f t="array" ref="C17">IFERROR(-1*INDEX(關係人沖銷金額_本位幣!$1:$1048576,MATCH(C$1&amp;$A17,關係人沖銷金額_本位幣!$A:$A&amp;關係人沖銷金額_本位幣!$B:$B,0),MATCH("Total",關係人沖銷金額_本位幣!$1:$1,0)),0)</f>
        <v>0</v>
      </c>
      <c r="D17" s="31">
        <f t="array" ref="D17">IFERROR(-1*INDEX(關係人沖銷金額_本位幣!$1:$1048576,MATCH(D$1&amp;$A17,關係人沖銷金額_本位幣!$A:$A&amp;關係人沖銷金額_本位幣!$B:$B,0),MATCH("Total",關係人沖銷金額_本位幣!$1:$1,0)),0)</f>
        <v>0</v>
      </c>
      <c r="E17" s="53"/>
      <c r="F17" s="53"/>
      <c r="G17" s="53"/>
      <c r="H17" s="53"/>
      <c r="I17" s="53"/>
      <c r="J17" s="53"/>
      <c r="K17" s="53"/>
      <c r="L17" s="53"/>
      <c r="M17" s="53"/>
      <c r="N17" s="53"/>
      <c r="O17" s="53"/>
      <c r="P17" s="53"/>
      <c r="Q17" s="53"/>
      <c r="R17" s="53"/>
      <c r="S17" s="53"/>
      <c r="T17" s="53"/>
      <c r="U17" s="53"/>
      <c r="V17" s="53"/>
      <c r="W17" s="53"/>
      <c r="X17" s="53"/>
      <c r="Y17" s="53"/>
      <c r="Z17" s="53"/>
      <c r="AA17" s="53"/>
      <c r="AB17" s="53"/>
      <c r="AC17" s="53"/>
      <c r="AD17" s="53"/>
      <c r="AE17" s="53"/>
      <c r="AF17" s="53"/>
      <c r="AG17" s="53"/>
      <c r="AH17" s="53"/>
      <c r="AI17" s="53"/>
      <c r="AJ17" s="53"/>
      <c r="AK17" s="53"/>
      <c r="AL17" s="53"/>
      <c r="AM17" s="53"/>
      <c r="AN17" s="53"/>
      <c r="AO17" s="53"/>
      <c r="AP17" s="53"/>
      <c r="AQ17" s="53"/>
      <c r="AR17" s="53"/>
      <c r="AS17" s="53"/>
      <c r="AT17" s="53"/>
      <c r="AU17" s="54"/>
      <c r="AV17" s="54"/>
    </row>
    <row r="18" spans="1:48" s="16" customFormat="1" ht="12" customHeight="1">
      <c r="A18" s="29" t="s">
        <v>96</v>
      </c>
      <c r="B18" s="20" t="s">
        <v>71</v>
      </c>
      <c r="C18" s="31">
        <f t="array" ref="C18">IFERROR(-1*INDEX(關係人沖銷金額_本位幣!$1:$1048576,MATCH(C$1&amp;$A18,關係人沖銷金額_本位幣!$A:$A&amp;關係人沖銷金額_本位幣!$B:$B,0),MATCH("Total",關係人沖銷金額_本位幣!$1:$1,0)),0)</f>
        <v>0</v>
      </c>
      <c r="D18" s="31">
        <f t="array" ref="D18">IFERROR(-1*INDEX(關係人沖銷金額_本位幣!$1:$1048576,MATCH(D$1&amp;$A18,關係人沖銷金額_本位幣!$A:$A&amp;關係人沖銷金額_本位幣!$B:$B,0),MATCH("Total",關係人沖銷金額_本位幣!$1:$1,0)),0)</f>
        <v>0</v>
      </c>
      <c r="E18" s="53"/>
      <c r="F18" s="53"/>
      <c r="G18" s="53"/>
      <c r="H18" s="53"/>
      <c r="I18" s="53"/>
      <c r="J18" s="53"/>
      <c r="K18" s="53"/>
      <c r="L18" s="53"/>
      <c r="M18" s="53"/>
      <c r="N18" s="53"/>
      <c r="O18" s="53"/>
      <c r="P18" s="53"/>
      <c r="Q18" s="53"/>
      <c r="R18" s="53"/>
      <c r="S18" s="53"/>
      <c r="T18" s="53"/>
      <c r="U18" s="53"/>
      <c r="V18" s="53"/>
      <c r="W18" s="53"/>
      <c r="X18" s="53"/>
      <c r="Y18" s="53"/>
      <c r="Z18" s="53"/>
      <c r="AA18" s="53"/>
      <c r="AB18" s="53"/>
      <c r="AC18" s="53"/>
      <c r="AD18" s="53"/>
      <c r="AE18" s="53"/>
      <c r="AF18" s="53"/>
      <c r="AG18" s="53"/>
      <c r="AH18" s="53"/>
      <c r="AI18" s="53"/>
      <c r="AJ18" s="53"/>
      <c r="AK18" s="53"/>
      <c r="AL18" s="53"/>
      <c r="AM18" s="53"/>
      <c r="AN18" s="53"/>
      <c r="AO18" s="53"/>
      <c r="AP18" s="53"/>
      <c r="AQ18" s="53"/>
      <c r="AR18" s="53"/>
      <c r="AS18" s="53"/>
      <c r="AT18" s="34"/>
      <c r="AU18" s="33"/>
      <c r="AV18" s="33"/>
    </row>
    <row r="19" spans="1:48" s="16" customFormat="1" ht="12" customHeight="1">
      <c r="A19" s="29"/>
      <c r="B19" s="20" t="s">
        <v>50</v>
      </c>
      <c r="C19" s="31">
        <f>SUM(C17:C18)</f>
        <v>0</v>
      </c>
      <c r="D19" s="31">
        <f>SUM(D17:D18)</f>
        <v>0</v>
      </c>
      <c r="E19" s="53"/>
      <c r="F19" s="53"/>
      <c r="G19" s="53"/>
      <c r="H19" s="53"/>
      <c r="I19" s="53"/>
      <c r="J19" s="53"/>
      <c r="K19" s="53"/>
      <c r="L19" s="53"/>
      <c r="M19" s="53"/>
      <c r="N19" s="53"/>
      <c r="O19" s="53"/>
      <c r="P19" s="53"/>
      <c r="Q19" s="53"/>
      <c r="R19" s="53"/>
      <c r="S19" s="53"/>
      <c r="T19" s="53"/>
      <c r="U19" s="53"/>
      <c r="V19" s="53"/>
      <c r="W19" s="53"/>
      <c r="X19" s="53"/>
      <c r="Y19" s="53"/>
      <c r="Z19" s="53"/>
      <c r="AA19" s="53"/>
      <c r="AB19" s="53"/>
      <c r="AC19" s="53"/>
      <c r="AD19" s="53"/>
      <c r="AE19" s="53"/>
      <c r="AF19" s="53"/>
      <c r="AG19" s="53"/>
      <c r="AH19" s="53"/>
      <c r="AI19" s="53"/>
      <c r="AJ19" s="53"/>
      <c r="AK19" s="53"/>
      <c r="AL19" s="53"/>
      <c r="AM19" s="53"/>
      <c r="AN19" s="53"/>
      <c r="AO19" s="53"/>
      <c r="AP19" s="53"/>
      <c r="AQ19" s="53"/>
      <c r="AR19" s="53"/>
      <c r="AS19" s="53"/>
      <c r="AT19" s="34"/>
      <c r="AU19" s="33"/>
      <c r="AV19" s="33"/>
    </row>
    <row r="20" spans="1:48" s="16" customFormat="1">
      <c r="A20" s="29"/>
      <c r="B20" s="55" t="s">
        <v>149</v>
      </c>
      <c r="C20" s="31"/>
      <c r="D20" s="31"/>
      <c r="E20" s="31"/>
      <c r="F20" s="31"/>
      <c r="G20" s="31"/>
      <c r="H20" s="31"/>
      <c r="I20" s="31"/>
      <c r="J20" s="31"/>
      <c r="K20" s="31"/>
      <c r="L20" s="31"/>
      <c r="M20" s="31"/>
      <c r="N20" s="31"/>
      <c r="O20" s="31"/>
      <c r="P20" s="31"/>
      <c r="Q20" s="31"/>
      <c r="R20" s="31"/>
      <c r="S20" s="31"/>
      <c r="T20" s="31"/>
      <c r="U20" s="31"/>
      <c r="V20" s="31"/>
      <c r="W20" s="31"/>
      <c r="X20" s="31"/>
      <c r="Y20" s="31"/>
      <c r="Z20" s="31"/>
      <c r="AA20" s="31"/>
      <c r="AB20" s="31"/>
      <c r="AC20" s="31"/>
      <c r="AD20" s="31"/>
      <c r="AE20" s="31"/>
      <c r="AF20" s="31"/>
      <c r="AG20" s="31"/>
      <c r="AH20" s="31"/>
      <c r="AI20" s="31"/>
      <c r="AJ20" s="31"/>
      <c r="AK20" s="31"/>
      <c r="AL20" s="31"/>
      <c r="AM20" s="31"/>
      <c r="AN20" s="31"/>
      <c r="AO20" s="31"/>
      <c r="AP20" s="31"/>
      <c r="AQ20" s="31"/>
      <c r="AR20" s="31"/>
      <c r="AS20" s="31"/>
      <c r="AT20" s="31"/>
      <c r="AU20" s="32"/>
      <c r="AV20" s="32"/>
    </row>
    <row r="21" spans="1:48" s="16" customFormat="1" ht="12" customHeight="1">
      <c r="A21" s="29"/>
      <c r="B21" s="20" t="s">
        <v>69</v>
      </c>
      <c r="C21" s="31" t="e">
        <f t="shared" ref="C21:D21" si="0">C5+C11</f>
        <v>#VALUE!</v>
      </c>
      <c r="D21" s="31" t="e">
        <f t="shared" si="0"/>
        <v>#VALUE!</v>
      </c>
      <c r="E21" s="34"/>
      <c r="F21" s="34"/>
      <c r="G21" s="34"/>
      <c r="H21" s="34"/>
      <c r="I21" s="34"/>
      <c r="J21" s="34"/>
      <c r="K21" s="34"/>
      <c r="L21" s="34"/>
      <c r="M21" s="34"/>
      <c r="N21" s="34"/>
      <c r="O21" s="34"/>
      <c r="P21" s="34"/>
      <c r="Q21" s="34"/>
      <c r="R21" s="34"/>
      <c r="S21" s="34"/>
      <c r="T21" s="34"/>
      <c r="U21" s="34"/>
      <c r="V21" s="34"/>
      <c r="W21" s="34"/>
      <c r="X21" s="34"/>
      <c r="Y21" s="34"/>
      <c r="Z21" s="34"/>
      <c r="AA21" s="34"/>
      <c r="AB21" s="34"/>
      <c r="AC21" s="34"/>
      <c r="AD21" s="34"/>
      <c r="AE21" s="34"/>
      <c r="AF21" s="34"/>
      <c r="AG21" s="34"/>
      <c r="AH21" s="34"/>
      <c r="AI21" s="34"/>
      <c r="AJ21" s="34"/>
      <c r="AK21" s="34"/>
      <c r="AL21" s="34"/>
      <c r="AM21" s="34"/>
      <c r="AN21" s="34"/>
      <c r="AO21" s="34"/>
      <c r="AP21" s="34"/>
      <c r="AQ21" s="34"/>
      <c r="AR21" s="34"/>
      <c r="AS21" s="34"/>
      <c r="AT21" s="34"/>
      <c r="AU21" s="33"/>
      <c r="AV21" s="33"/>
    </row>
    <row r="22" spans="1:48" s="16" customFormat="1" ht="12" customHeight="1">
      <c r="A22" s="29"/>
      <c r="B22" s="20" t="s">
        <v>123</v>
      </c>
      <c r="C22" s="31" t="e">
        <f t="shared" ref="C22:D22" si="1">C6+C12+C17</f>
        <v>#VALUE!</v>
      </c>
      <c r="D22" s="31" t="e">
        <f t="shared" si="1"/>
        <v>#VALUE!</v>
      </c>
      <c r="E22" s="34"/>
      <c r="F22" s="34"/>
      <c r="G22" s="34"/>
      <c r="H22" s="34"/>
      <c r="I22" s="34"/>
      <c r="J22" s="34"/>
      <c r="K22" s="34"/>
      <c r="L22" s="34"/>
      <c r="M22" s="34"/>
      <c r="N22" s="34"/>
      <c r="O22" s="34"/>
      <c r="P22" s="34"/>
      <c r="Q22" s="34"/>
      <c r="R22" s="34"/>
      <c r="S22" s="34"/>
      <c r="T22" s="34"/>
      <c r="U22" s="34"/>
      <c r="V22" s="34"/>
      <c r="W22" s="34"/>
      <c r="X22" s="34"/>
      <c r="Y22" s="34"/>
      <c r="Z22" s="34"/>
      <c r="AA22" s="34"/>
      <c r="AB22" s="34"/>
      <c r="AC22" s="34"/>
      <c r="AD22" s="34"/>
      <c r="AE22" s="34"/>
      <c r="AF22" s="34"/>
      <c r="AG22" s="34"/>
      <c r="AH22" s="34"/>
      <c r="AI22" s="34"/>
      <c r="AJ22" s="34"/>
      <c r="AK22" s="34"/>
      <c r="AL22" s="34"/>
      <c r="AM22" s="34"/>
      <c r="AN22" s="34"/>
      <c r="AO22" s="34"/>
      <c r="AP22" s="34"/>
      <c r="AQ22" s="34"/>
      <c r="AR22" s="34"/>
      <c r="AS22" s="34"/>
      <c r="AT22" s="34"/>
      <c r="AU22" s="33"/>
      <c r="AV22" s="33"/>
    </row>
    <row r="23" spans="1:48" s="16" customFormat="1" ht="12" customHeight="1">
      <c r="A23" s="29"/>
      <c r="B23" s="20" t="s">
        <v>70</v>
      </c>
      <c r="C23" s="31" t="e">
        <f t="shared" ref="C23:D23" si="2">C7+C13</f>
        <v>#VALUE!</v>
      </c>
      <c r="D23" s="31" t="e">
        <f t="shared" si="2"/>
        <v>#VALUE!</v>
      </c>
      <c r="E23" s="34"/>
      <c r="F23" s="34"/>
      <c r="G23" s="34"/>
      <c r="H23" s="34"/>
      <c r="I23" s="34"/>
      <c r="J23" s="34"/>
      <c r="K23" s="34"/>
      <c r="L23" s="34"/>
      <c r="M23" s="34"/>
      <c r="N23" s="34"/>
      <c r="O23" s="34"/>
      <c r="P23" s="34"/>
      <c r="Q23" s="34"/>
      <c r="R23" s="34"/>
      <c r="S23" s="34"/>
      <c r="T23" s="34"/>
      <c r="U23" s="34"/>
      <c r="V23" s="34"/>
      <c r="W23" s="34"/>
      <c r="X23" s="34"/>
      <c r="Y23" s="34"/>
      <c r="Z23" s="34"/>
      <c r="AA23" s="34"/>
      <c r="AB23" s="34"/>
      <c r="AC23" s="34"/>
      <c r="AD23" s="34"/>
      <c r="AE23" s="34"/>
      <c r="AF23" s="34"/>
      <c r="AG23" s="34"/>
      <c r="AH23" s="34"/>
      <c r="AI23" s="34"/>
      <c r="AJ23" s="34"/>
      <c r="AK23" s="34"/>
      <c r="AL23" s="34"/>
      <c r="AM23" s="34"/>
      <c r="AN23" s="34"/>
      <c r="AO23" s="34"/>
      <c r="AP23" s="34"/>
      <c r="AQ23" s="34"/>
      <c r="AR23" s="34"/>
      <c r="AS23" s="34"/>
      <c r="AT23" s="34"/>
      <c r="AU23" s="33"/>
      <c r="AV23" s="33"/>
    </row>
    <row r="24" spans="1:48" s="16" customFormat="1" ht="12" customHeight="1">
      <c r="A24" s="29"/>
      <c r="B24" s="20" t="s">
        <v>71</v>
      </c>
      <c r="C24" s="31" t="e">
        <f t="shared" ref="C24:D24" si="3">C8+C14+C18</f>
        <v>#VALUE!</v>
      </c>
      <c r="D24" s="31" t="e">
        <f t="shared" si="3"/>
        <v>#VALUE!</v>
      </c>
      <c r="E24" s="34"/>
      <c r="F24" s="34"/>
      <c r="G24" s="34"/>
      <c r="H24" s="34"/>
      <c r="I24" s="34"/>
      <c r="J24" s="34"/>
      <c r="K24" s="34"/>
      <c r="L24" s="34"/>
      <c r="M24" s="34"/>
      <c r="N24" s="34"/>
      <c r="O24" s="34"/>
      <c r="P24" s="34"/>
      <c r="Q24" s="34"/>
      <c r="R24" s="34"/>
      <c r="S24" s="34"/>
      <c r="T24" s="34"/>
      <c r="U24" s="34"/>
      <c r="V24" s="34"/>
      <c r="W24" s="34"/>
      <c r="X24" s="34"/>
      <c r="Y24" s="34"/>
      <c r="Z24" s="34"/>
      <c r="AA24" s="34"/>
      <c r="AB24" s="34"/>
      <c r="AC24" s="34"/>
      <c r="AD24" s="34"/>
      <c r="AE24" s="34"/>
      <c r="AF24" s="34"/>
      <c r="AG24" s="34"/>
      <c r="AH24" s="34"/>
      <c r="AI24" s="34"/>
      <c r="AJ24" s="34"/>
      <c r="AK24" s="34"/>
      <c r="AL24" s="34"/>
      <c r="AM24" s="34"/>
      <c r="AN24" s="34"/>
      <c r="AO24" s="34"/>
      <c r="AP24" s="34"/>
      <c r="AQ24" s="34"/>
      <c r="AR24" s="34"/>
      <c r="AS24" s="34"/>
      <c r="AT24" s="34"/>
      <c r="AU24" s="33"/>
      <c r="AV24" s="33"/>
    </row>
    <row r="25" spans="1:48" s="16" customFormat="1" ht="12" customHeight="1">
      <c r="A25" s="29"/>
      <c r="B25" s="20" t="s">
        <v>50</v>
      </c>
      <c r="C25" s="31" t="e">
        <f>SUM(C21:C24)</f>
        <v>#VALUE!</v>
      </c>
      <c r="D25" s="31" t="e">
        <f>SUM(D21:D24)</f>
        <v>#VALUE!</v>
      </c>
      <c r="E25" s="34"/>
      <c r="F25" s="34"/>
      <c r="G25" s="34"/>
      <c r="H25" s="34"/>
      <c r="I25" s="34"/>
      <c r="J25" s="34"/>
      <c r="K25" s="34"/>
      <c r="L25" s="34"/>
      <c r="M25" s="34"/>
      <c r="N25" s="34"/>
      <c r="O25" s="34"/>
      <c r="P25" s="34"/>
      <c r="Q25" s="34"/>
      <c r="R25" s="34"/>
      <c r="S25" s="34"/>
      <c r="T25" s="34"/>
      <c r="U25" s="34"/>
      <c r="V25" s="34"/>
      <c r="W25" s="34"/>
      <c r="X25" s="34"/>
      <c r="Y25" s="34"/>
      <c r="Z25" s="34"/>
      <c r="AA25" s="34"/>
      <c r="AB25" s="34"/>
      <c r="AC25" s="34"/>
      <c r="AD25" s="34"/>
      <c r="AE25" s="34"/>
      <c r="AF25" s="34"/>
      <c r="AG25" s="34"/>
      <c r="AH25" s="34"/>
      <c r="AI25" s="34"/>
      <c r="AJ25" s="34"/>
      <c r="AK25" s="34"/>
      <c r="AL25" s="34"/>
      <c r="AM25" s="34"/>
      <c r="AN25" s="34"/>
      <c r="AO25" s="34"/>
      <c r="AP25" s="34"/>
      <c r="AQ25" s="34"/>
      <c r="AR25" s="34"/>
      <c r="AS25" s="34"/>
      <c r="AT25" s="34"/>
      <c r="AU25" s="33"/>
      <c r="AV25" s="33"/>
    </row>
    <row r="26" spans="1:48" s="67" customFormat="1" ht="12" customHeight="1">
      <c r="A26" s="29"/>
      <c r="B26" s="19" t="s">
        <v>59</v>
      </c>
      <c r="C26" s="64">
        <f>IF(C$3="USD",1,IF(C$3="NTD",1/[1]!HsGetValue(conn,USD換算成NTD的期末匯率),[1]!HsGetValue(conn,"Custom1#"&amp;C$3&amp;換算成USD的期末匯率)))</f>
        <v>1</v>
      </c>
      <c r="D26" s="64" t="e">
        <f>IF(D$3="USD",1,IF(D$3="NTD",1/[1]!HsGetValue(conn,USD換算成NTD的期末匯率),[1]!HsGetValue(conn,"Custom1#"&amp;D$3&amp;換算成USD的期末匯率)))</f>
        <v>#VALUE!</v>
      </c>
      <c r="E26" s="65"/>
      <c r="F26" s="65"/>
      <c r="G26" s="65"/>
      <c r="H26" s="65"/>
      <c r="I26" s="65"/>
      <c r="J26" s="65"/>
      <c r="K26" s="65"/>
      <c r="L26" s="65"/>
      <c r="M26" s="65"/>
      <c r="N26" s="65"/>
      <c r="O26" s="65"/>
      <c r="P26" s="65"/>
      <c r="Q26" s="65"/>
      <c r="R26" s="65"/>
      <c r="S26" s="65"/>
      <c r="T26" s="65"/>
      <c r="U26" s="65"/>
      <c r="V26" s="65"/>
      <c r="W26" s="65"/>
      <c r="X26" s="65"/>
      <c r="Y26" s="65"/>
      <c r="Z26" s="65"/>
      <c r="AA26" s="65"/>
      <c r="AB26" s="65"/>
      <c r="AC26" s="65"/>
      <c r="AD26" s="65"/>
      <c r="AE26" s="65"/>
      <c r="AF26" s="65"/>
      <c r="AG26" s="65"/>
      <c r="AH26" s="65"/>
      <c r="AI26" s="65"/>
      <c r="AJ26" s="65"/>
      <c r="AK26" s="65"/>
      <c r="AL26" s="65"/>
      <c r="AM26" s="65"/>
      <c r="AN26" s="65"/>
      <c r="AO26" s="65"/>
      <c r="AP26" s="65"/>
      <c r="AQ26" s="65"/>
      <c r="AR26" s="65"/>
      <c r="AS26" s="65"/>
      <c r="AT26" s="65"/>
      <c r="AU26" s="66"/>
      <c r="AV26" s="66"/>
    </row>
    <row r="27" spans="1:48" s="16" customFormat="1">
      <c r="A27" s="29"/>
      <c r="B27" s="55" t="s">
        <v>150</v>
      </c>
      <c r="C27" s="31"/>
      <c r="D27" s="31"/>
      <c r="E27" s="31"/>
      <c r="F27" s="31"/>
      <c r="G27" s="31"/>
      <c r="H27" s="31"/>
      <c r="I27" s="31"/>
      <c r="J27" s="31"/>
      <c r="K27" s="31"/>
      <c r="L27" s="31"/>
      <c r="M27" s="31"/>
      <c r="N27" s="31"/>
      <c r="O27" s="31"/>
      <c r="P27" s="31"/>
      <c r="Q27" s="31"/>
      <c r="R27" s="31"/>
      <c r="S27" s="31"/>
      <c r="T27" s="31"/>
      <c r="U27" s="31"/>
      <c r="V27" s="31"/>
      <c r="W27" s="31"/>
      <c r="X27" s="31"/>
      <c r="Y27" s="31"/>
      <c r="Z27" s="31"/>
      <c r="AA27" s="31"/>
      <c r="AB27" s="31"/>
      <c r="AC27" s="31"/>
      <c r="AD27" s="31"/>
      <c r="AE27" s="31"/>
      <c r="AF27" s="31"/>
      <c r="AG27" s="31"/>
      <c r="AH27" s="31"/>
      <c r="AI27" s="31"/>
      <c r="AJ27" s="31"/>
      <c r="AK27" s="31"/>
      <c r="AL27" s="31"/>
      <c r="AM27" s="31"/>
      <c r="AN27" s="31"/>
      <c r="AO27" s="31"/>
      <c r="AP27" s="31"/>
      <c r="AQ27" s="31"/>
      <c r="AR27" s="31"/>
      <c r="AS27" s="31"/>
      <c r="AT27" s="31"/>
      <c r="AU27" s="32"/>
      <c r="AV27" s="32"/>
    </row>
    <row r="28" spans="1:48" s="16" customFormat="1" ht="12" customHeight="1">
      <c r="A28" s="29"/>
      <c r="B28" s="20" t="s">
        <v>69</v>
      </c>
      <c r="C28" s="31" t="e">
        <f t="shared" ref="C28:D28" si="4">C21*C$26</f>
        <v>#VALUE!</v>
      </c>
      <c r="D28" s="31" t="e">
        <f t="shared" si="4"/>
        <v>#VALUE!</v>
      </c>
      <c r="E28" s="33"/>
      <c r="F28" s="33"/>
      <c r="G28" s="33"/>
      <c r="H28" s="33"/>
      <c r="I28" s="33"/>
      <c r="J28" s="33"/>
      <c r="K28" s="33"/>
      <c r="L28" s="33"/>
      <c r="M28" s="33"/>
      <c r="N28" s="33"/>
      <c r="O28" s="33"/>
      <c r="P28" s="33"/>
      <c r="Q28" s="33"/>
      <c r="R28" s="33"/>
      <c r="S28" s="33"/>
      <c r="T28" s="33"/>
      <c r="U28" s="33"/>
      <c r="V28" s="33"/>
      <c r="W28" s="33"/>
      <c r="X28" s="33"/>
      <c r="Y28" s="33"/>
      <c r="Z28" s="33"/>
      <c r="AA28" s="33"/>
      <c r="AB28" s="33"/>
      <c r="AC28" s="33"/>
      <c r="AD28" s="33"/>
      <c r="AE28" s="33"/>
      <c r="AF28" s="33"/>
      <c r="AG28" s="33"/>
      <c r="AH28" s="33"/>
      <c r="AI28" s="33"/>
      <c r="AJ28" s="33"/>
      <c r="AK28" s="33"/>
      <c r="AL28" s="33"/>
      <c r="AM28" s="33"/>
      <c r="AN28" s="33"/>
      <c r="AO28" s="33"/>
      <c r="AP28" s="33"/>
      <c r="AQ28" s="33"/>
      <c r="AR28" s="34"/>
      <c r="AS28" s="31" t="e">
        <f t="shared" ref="AS28:AS32" si="5">SUM(C28:AR28)</f>
        <v>#VALUE!</v>
      </c>
      <c r="AT28" s="33"/>
      <c r="AU28" s="33"/>
      <c r="AV28" s="33"/>
    </row>
    <row r="29" spans="1:48" s="16" customFormat="1" ht="12" customHeight="1">
      <c r="A29" s="29"/>
      <c r="B29" s="20" t="s">
        <v>123</v>
      </c>
      <c r="C29" s="31" t="e">
        <f t="shared" ref="C29:D29" si="6">C22*C$26</f>
        <v>#VALUE!</v>
      </c>
      <c r="D29" s="31" t="e">
        <f t="shared" si="6"/>
        <v>#VALUE!</v>
      </c>
      <c r="E29" s="33"/>
      <c r="F29" s="33"/>
      <c r="G29" s="33"/>
      <c r="H29" s="33"/>
      <c r="I29" s="33"/>
      <c r="J29" s="33"/>
      <c r="K29" s="33"/>
      <c r="L29" s="33"/>
      <c r="M29" s="33"/>
      <c r="N29" s="33"/>
      <c r="O29" s="33"/>
      <c r="P29" s="33"/>
      <c r="Q29" s="33"/>
      <c r="R29" s="33"/>
      <c r="S29" s="33"/>
      <c r="T29" s="33"/>
      <c r="U29" s="33"/>
      <c r="V29" s="33"/>
      <c r="W29" s="33"/>
      <c r="X29" s="33"/>
      <c r="Y29" s="33"/>
      <c r="Z29" s="33"/>
      <c r="AA29" s="33"/>
      <c r="AB29" s="33"/>
      <c r="AC29" s="33"/>
      <c r="AD29" s="33"/>
      <c r="AE29" s="33"/>
      <c r="AF29" s="33"/>
      <c r="AG29" s="33"/>
      <c r="AH29" s="33"/>
      <c r="AI29" s="33"/>
      <c r="AJ29" s="33"/>
      <c r="AK29" s="33"/>
      <c r="AL29" s="33"/>
      <c r="AM29" s="33"/>
      <c r="AN29" s="33"/>
      <c r="AO29" s="33"/>
      <c r="AP29" s="33"/>
      <c r="AQ29" s="33"/>
      <c r="AR29" s="34"/>
      <c r="AS29" s="31" t="e">
        <f t="shared" si="5"/>
        <v>#VALUE!</v>
      </c>
      <c r="AT29" s="33"/>
      <c r="AU29" s="33"/>
      <c r="AV29" s="33"/>
    </row>
    <row r="30" spans="1:48" s="16" customFormat="1" ht="12" customHeight="1">
      <c r="A30" s="29"/>
      <c r="B30" s="20" t="s">
        <v>70</v>
      </c>
      <c r="C30" s="31" t="e">
        <f t="shared" ref="C30:D30" si="7">C23*C$26</f>
        <v>#VALUE!</v>
      </c>
      <c r="D30" s="31" t="e">
        <f t="shared" si="7"/>
        <v>#VALUE!</v>
      </c>
      <c r="E30" s="33"/>
      <c r="F30" s="33"/>
      <c r="G30" s="33"/>
      <c r="H30" s="33"/>
      <c r="I30" s="33"/>
      <c r="J30" s="33"/>
      <c r="K30" s="33"/>
      <c r="L30" s="33"/>
      <c r="M30" s="33"/>
      <c r="N30" s="33"/>
      <c r="O30" s="33"/>
      <c r="P30" s="33"/>
      <c r="Q30" s="33"/>
      <c r="R30" s="33"/>
      <c r="S30" s="33"/>
      <c r="T30" s="33"/>
      <c r="U30" s="33"/>
      <c r="V30" s="33"/>
      <c r="W30" s="33"/>
      <c r="X30" s="33"/>
      <c r="Y30" s="33"/>
      <c r="Z30" s="33"/>
      <c r="AA30" s="33"/>
      <c r="AB30" s="33"/>
      <c r="AC30" s="33"/>
      <c r="AD30" s="33"/>
      <c r="AE30" s="33"/>
      <c r="AF30" s="33"/>
      <c r="AG30" s="33"/>
      <c r="AH30" s="33"/>
      <c r="AI30" s="33"/>
      <c r="AJ30" s="33"/>
      <c r="AK30" s="33"/>
      <c r="AL30" s="33"/>
      <c r="AM30" s="33"/>
      <c r="AN30" s="33"/>
      <c r="AO30" s="33"/>
      <c r="AP30" s="33"/>
      <c r="AQ30" s="33"/>
      <c r="AR30" s="34"/>
      <c r="AS30" s="31" t="e">
        <f t="shared" si="5"/>
        <v>#VALUE!</v>
      </c>
      <c r="AT30" s="33"/>
      <c r="AU30" s="33"/>
      <c r="AV30" s="33"/>
    </row>
    <row r="31" spans="1:48" s="16" customFormat="1" ht="12" customHeight="1">
      <c r="A31" s="29"/>
      <c r="B31" s="20" t="s">
        <v>71</v>
      </c>
      <c r="C31" s="31" t="e">
        <f t="shared" ref="C31:D31" si="8">C24*C$26</f>
        <v>#VALUE!</v>
      </c>
      <c r="D31" s="31" t="e">
        <f t="shared" si="8"/>
        <v>#VALUE!</v>
      </c>
      <c r="E31" s="33"/>
      <c r="F31" s="33"/>
      <c r="G31" s="33"/>
      <c r="H31" s="33"/>
      <c r="I31" s="33"/>
      <c r="J31" s="33"/>
      <c r="K31" s="33"/>
      <c r="L31" s="33"/>
      <c r="M31" s="33"/>
      <c r="N31" s="33"/>
      <c r="O31" s="33"/>
      <c r="P31" s="33"/>
      <c r="Q31" s="33"/>
      <c r="R31" s="33"/>
      <c r="S31" s="33"/>
      <c r="T31" s="33"/>
      <c r="U31" s="33"/>
      <c r="V31" s="33"/>
      <c r="W31" s="33"/>
      <c r="X31" s="33"/>
      <c r="Y31" s="33"/>
      <c r="Z31" s="33"/>
      <c r="AA31" s="33"/>
      <c r="AB31" s="33"/>
      <c r="AC31" s="33"/>
      <c r="AD31" s="33"/>
      <c r="AE31" s="33"/>
      <c r="AF31" s="33"/>
      <c r="AG31" s="33"/>
      <c r="AH31" s="33"/>
      <c r="AI31" s="33"/>
      <c r="AJ31" s="33"/>
      <c r="AK31" s="33"/>
      <c r="AL31" s="33"/>
      <c r="AM31" s="33"/>
      <c r="AN31" s="33"/>
      <c r="AO31" s="33"/>
      <c r="AP31" s="33"/>
      <c r="AQ31" s="33"/>
      <c r="AR31" s="34"/>
      <c r="AS31" s="31" t="e">
        <f t="shared" si="5"/>
        <v>#VALUE!</v>
      </c>
      <c r="AT31" s="33"/>
      <c r="AU31" s="33"/>
      <c r="AV31" s="33"/>
    </row>
    <row r="32" spans="1:48" s="16" customFormat="1" ht="12" customHeight="1">
      <c r="A32" s="29"/>
      <c r="B32" s="20" t="s">
        <v>50</v>
      </c>
      <c r="C32" s="31" t="e">
        <f>SUM(C28:C31)</f>
        <v>#VALUE!</v>
      </c>
      <c r="D32" s="31" t="e">
        <f>SUM(D28:D31)</f>
        <v>#VALUE!</v>
      </c>
      <c r="E32" s="33"/>
      <c r="F32" s="33"/>
      <c r="G32" s="33"/>
      <c r="H32" s="33"/>
      <c r="I32" s="33"/>
      <c r="J32" s="33"/>
      <c r="K32" s="33"/>
      <c r="L32" s="33"/>
      <c r="M32" s="33"/>
      <c r="N32" s="33"/>
      <c r="O32" s="33"/>
      <c r="P32" s="33"/>
      <c r="Q32" s="33"/>
      <c r="R32" s="33"/>
      <c r="S32" s="33"/>
      <c r="T32" s="33"/>
      <c r="U32" s="33"/>
      <c r="V32" s="33"/>
      <c r="W32" s="33"/>
      <c r="X32" s="33"/>
      <c r="Y32" s="33"/>
      <c r="Z32" s="33"/>
      <c r="AA32" s="33"/>
      <c r="AB32" s="33"/>
      <c r="AC32" s="33"/>
      <c r="AD32" s="33"/>
      <c r="AE32" s="33"/>
      <c r="AF32" s="33"/>
      <c r="AG32" s="33"/>
      <c r="AH32" s="33"/>
      <c r="AI32" s="33"/>
      <c r="AJ32" s="33"/>
      <c r="AK32" s="33"/>
      <c r="AL32" s="33"/>
      <c r="AM32" s="33"/>
      <c r="AN32" s="33"/>
      <c r="AO32" s="33"/>
      <c r="AP32" s="33"/>
      <c r="AQ32" s="33"/>
      <c r="AR32" s="34"/>
      <c r="AS32" s="31" t="e">
        <f t="shared" si="5"/>
        <v>#VALUE!</v>
      </c>
      <c r="AT32" s="31" t="e">
        <f>[1]!HsGetValue(conn,"Entity#C60452;Account#"&amp;$A$5&amp;大表科目本位幣調整AJE)+[1]!HsGetValue(conn,"Entity#C60452;Account#"&amp;$A$6&amp;大表科目本位幣調整AJE)+[1]!HsGetValue(conn,"Entity#C60452;Account#"&amp;$A$7&amp;大表科目本位幣調整AJE)+[1]!HsGetValue(conn,"Entity#C60452;Account#"&amp;$A$8&amp;大表科目本位幣調整AJE)</f>
        <v>#VALUE!</v>
      </c>
      <c r="AU32" s="32" t="e">
        <f>AS32+AT32</f>
        <v>#VALUE!</v>
      </c>
      <c r="AV32" s="32" t="e">
        <f>ROUND(AU32/1000,)</f>
        <v>#VALUE!</v>
      </c>
    </row>
    <row r="33" spans="1:48" s="16" customFormat="1" ht="12" customHeight="1">
      <c r="A33" s="29"/>
      <c r="B33" s="19" t="s">
        <v>126</v>
      </c>
      <c r="C33" s="33"/>
      <c r="D33" s="33"/>
      <c r="E33" s="33"/>
      <c r="F33" s="33"/>
      <c r="G33" s="33"/>
      <c r="H33" s="33"/>
      <c r="I33" s="33"/>
      <c r="J33" s="33"/>
      <c r="K33" s="33"/>
      <c r="L33" s="33"/>
      <c r="M33" s="33"/>
      <c r="N33" s="33"/>
      <c r="O33" s="33"/>
      <c r="P33" s="33"/>
      <c r="Q33" s="33"/>
      <c r="R33" s="33"/>
      <c r="S33" s="33"/>
      <c r="T33" s="33"/>
      <c r="U33" s="33"/>
      <c r="V33" s="33"/>
      <c r="W33" s="33"/>
      <c r="X33" s="33"/>
      <c r="Y33" s="33"/>
      <c r="Z33" s="33"/>
      <c r="AA33" s="33"/>
      <c r="AB33" s="33"/>
      <c r="AC33" s="33"/>
      <c r="AD33" s="33"/>
      <c r="AE33" s="33"/>
      <c r="AF33" s="33"/>
      <c r="AG33" s="33"/>
      <c r="AH33" s="33"/>
      <c r="AI33" s="33"/>
      <c r="AJ33" s="33"/>
      <c r="AK33" s="33"/>
      <c r="AL33" s="33"/>
      <c r="AM33" s="33"/>
      <c r="AN33" s="33"/>
      <c r="AO33" s="33"/>
      <c r="AP33" s="33"/>
      <c r="AQ33" s="33"/>
      <c r="AR33" s="33"/>
      <c r="AS33" s="33"/>
      <c r="AT33" s="33"/>
      <c r="AU33" s="33" t="e">
        <f>[1]!HsGetValue(conn,"Entity#C60452;Account#"&amp;$A$5&amp;大表科目本位幣調整后)+[1]!HsGetValue(conn,"Entity#C60452;Account#"&amp;$A$6&amp;大表科目本位幣調整后)+[1]!HsGetValue(conn,"Entity#C60452;Account#"&amp;$A$7&amp;大表科目本位幣調整后)+[1]!HsGetValue(conn,"Entity#C60452;Account#"&amp;$A$8&amp;大表科目本位幣調整后)</f>
        <v>#VALUE!</v>
      </c>
      <c r="AV33" s="33"/>
    </row>
    <row r="34" spans="1:48" s="16" customFormat="1" ht="12" customHeight="1">
      <c r="A34" s="29"/>
      <c r="B34" s="19" t="s">
        <v>154</v>
      </c>
      <c r="C34" s="33"/>
      <c r="D34" s="33"/>
      <c r="E34" s="33"/>
      <c r="F34" s="33"/>
      <c r="G34" s="33"/>
      <c r="H34" s="33"/>
      <c r="I34" s="33"/>
      <c r="J34" s="33"/>
      <c r="K34" s="33"/>
      <c r="L34" s="33"/>
      <c r="M34" s="33"/>
      <c r="N34" s="33"/>
      <c r="O34" s="33"/>
      <c r="P34" s="33"/>
      <c r="Q34" s="33"/>
      <c r="R34" s="33"/>
      <c r="S34" s="33"/>
      <c r="T34" s="33"/>
      <c r="U34" s="33"/>
      <c r="V34" s="33"/>
      <c r="W34" s="33"/>
      <c r="X34" s="33"/>
      <c r="Y34" s="33"/>
      <c r="Z34" s="33"/>
      <c r="AA34" s="33"/>
      <c r="AB34" s="33"/>
      <c r="AC34" s="33"/>
      <c r="AD34" s="33"/>
      <c r="AE34" s="33"/>
      <c r="AF34" s="33"/>
      <c r="AG34" s="33"/>
      <c r="AH34" s="33"/>
      <c r="AI34" s="33"/>
      <c r="AJ34" s="33"/>
      <c r="AK34" s="33"/>
      <c r="AL34" s="33"/>
      <c r="AM34" s="33"/>
      <c r="AN34" s="33"/>
      <c r="AO34" s="33"/>
      <c r="AP34" s="33"/>
      <c r="AQ34" s="33"/>
      <c r="AR34" s="33"/>
      <c r="AS34" s="33"/>
      <c r="AT34" s="33"/>
      <c r="AU34" s="33" t="e">
        <f>AU32-AU33</f>
        <v>#VALUE!</v>
      </c>
      <c r="AV34" s="33"/>
    </row>
    <row r="35" spans="1:48">
      <c r="B35" s="83" t="s">
        <v>158</v>
      </c>
      <c r="C35" s="84"/>
      <c r="D35" s="84"/>
      <c r="E35" s="84"/>
      <c r="F35" s="84"/>
      <c r="G35" s="84"/>
      <c r="H35" s="84"/>
      <c r="I35" s="84"/>
      <c r="J35" s="84"/>
      <c r="K35" s="84"/>
      <c r="L35" s="84"/>
      <c r="M35" s="84"/>
      <c r="N35" s="84"/>
      <c r="O35" s="84"/>
      <c r="P35" s="84"/>
      <c r="Q35" s="84"/>
      <c r="R35" s="84"/>
      <c r="S35" s="84"/>
      <c r="T35" s="84"/>
      <c r="U35" s="84"/>
      <c r="V35" s="84"/>
      <c r="W35" s="84"/>
      <c r="X35" s="84"/>
      <c r="Y35" s="84"/>
      <c r="Z35" s="84"/>
      <c r="AA35" s="84"/>
      <c r="AB35" s="84"/>
      <c r="AC35" s="84"/>
      <c r="AD35" s="84"/>
      <c r="AE35" s="84"/>
      <c r="AF35" s="84"/>
      <c r="AG35" s="84"/>
      <c r="AH35" s="84"/>
      <c r="AI35" s="84"/>
      <c r="AJ35" s="84"/>
      <c r="AK35" s="84"/>
      <c r="AL35" s="84"/>
      <c r="AM35" s="84"/>
      <c r="AN35" s="84"/>
      <c r="AO35" s="84"/>
      <c r="AP35" s="84"/>
      <c r="AQ35" s="84"/>
      <c r="AR35" s="84"/>
      <c r="AS35" s="84"/>
      <c r="AT35" s="84"/>
      <c r="AU35" s="84"/>
      <c r="AV35" s="85"/>
    </row>
    <row r="36" spans="1:48" s="16" customFormat="1">
      <c r="A36" s="29"/>
      <c r="B36" s="20" t="s">
        <v>76</v>
      </c>
      <c r="C36" s="35">
        <f>SUMIFS(AP_Aging!$Q:$Q,AP_Aging!$C:$C,AP_Breakdown!C$1,AP_Aging!$G:$G,"3rd party")</f>
        <v>0</v>
      </c>
      <c r="D36" s="35">
        <f>SUMIFS(AP_Aging!$Q:$Q,AP_Aging!$C:$C,AP_Breakdown!D$1,AP_Aging!$G:$G,"3rd party")</f>
        <v>0</v>
      </c>
      <c r="E36" s="34"/>
      <c r="F36" s="34"/>
      <c r="G36" s="34"/>
      <c r="H36" s="34"/>
      <c r="I36" s="34"/>
      <c r="J36" s="34"/>
      <c r="K36" s="34"/>
      <c r="L36" s="34"/>
      <c r="M36" s="34"/>
      <c r="N36" s="34"/>
      <c r="O36" s="34"/>
      <c r="P36" s="34"/>
      <c r="Q36" s="34"/>
      <c r="R36" s="34"/>
      <c r="S36" s="34"/>
      <c r="T36" s="34"/>
      <c r="U36" s="34"/>
      <c r="V36" s="34"/>
      <c r="W36" s="34"/>
      <c r="X36" s="34"/>
      <c r="Y36" s="34"/>
      <c r="Z36" s="34"/>
      <c r="AA36" s="34"/>
      <c r="AB36" s="34"/>
      <c r="AC36" s="34"/>
      <c r="AD36" s="34"/>
      <c r="AE36" s="34"/>
      <c r="AF36" s="34"/>
      <c r="AG36" s="34"/>
      <c r="AH36" s="34"/>
      <c r="AI36" s="34"/>
      <c r="AJ36" s="34"/>
      <c r="AK36" s="34"/>
      <c r="AL36" s="34"/>
      <c r="AM36" s="34"/>
      <c r="AN36" s="34"/>
      <c r="AO36" s="34"/>
      <c r="AP36" s="34"/>
      <c r="AQ36" s="34"/>
      <c r="AR36" s="34"/>
      <c r="AS36" s="34"/>
      <c r="AT36" s="34"/>
      <c r="AU36" s="33">
        <f>SUM(C36:AR36)</f>
        <v>0</v>
      </c>
      <c r="AV36" s="33">
        <f t="shared" ref="AV36:AV38" si="9">ROUND(AU36/1000,)</f>
        <v>0</v>
      </c>
    </row>
    <row r="37" spans="1:48" s="16" customFormat="1">
      <c r="A37" s="29"/>
      <c r="B37" s="20" t="s">
        <v>77</v>
      </c>
      <c r="C37" s="35">
        <f>SUMIFS(AP_Aging!$Q:$Q,AP_Aging!$C:$C,AP_Breakdown!C$1,AP_Aging!$G:$G,"非合併事業體及關係人")+SUMIFS(AP_Aging!$Q:$Q,AP_Aging!$C:$C,AP_Breakdown!C$1,AP_Aging!$G:$G,"related party")</f>
        <v>0</v>
      </c>
      <c r="D37" s="35">
        <f>SUMIFS(AP_Aging!$Q:$Q,AP_Aging!$C:$C,AP_Breakdown!D$1,AP_Aging!$G:$G,"非合併事業體及關係人")+SUMIFS(AP_Aging!$Q:$Q,AP_Aging!$C:$C,AP_Breakdown!D$1,AP_Aging!$G:$G,"related party")</f>
        <v>0</v>
      </c>
      <c r="E37" s="34"/>
      <c r="F37" s="34"/>
      <c r="G37" s="34"/>
      <c r="H37" s="34"/>
      <c r="I37" s="34"/>
      <c r="J37" s="34"/>
      <c r="K37" s="34"/>
      <c r="L37" s="34"/>
      <c r="M37" s="34"/>
      <c r="N37" s="34"/>
      <c r="O37" s="34"/>
      <c r="P37" s="34"/>
      <c r="Q37" s="34"/>
      <c r="R37" s="34"/>
      <c r="S37" s="34"/>
      <c r="T37" s="34"/>
      <c r="U37" s="34"/>
      <c r="V37" s="34"/>
      <c r="W37" s="34"/>
      <c r="X37" s="34"/>
      <c r="Y37" s="34"/>
      <c r="Z37" s="34"/>
      <c r="AA37" s="34"/>
      <c r="AB37" s="34"/>
      <c r="AC37" s="34"/>
      <c r="AD37" s="34"/>
      <c r="AE37" s="34"/>
      <c r="AF37" s="34"/>
      <c r="AG37" s="34"/>
      <c r="AH37" s="34"/>
      <c r="AI37" s="34"/>
      <c r="AJ37" s="34"/>
      <c r="AK37" s="34"/>
      <c r="AL37" s="34"/>
      <c r="AM37" s="34"/>
      <c r="AN37" s="34"/>
      <c r="AO37" s="34"/>
      <c r="AP37" s="34"/>
      <c r="AQ37" s="34"/>
      <c r="AR37" s="34"/>
      <c r="AS37" s="34"/>
      <c r="AT37" s="34"/>
      <c r="AU37" s="33">
        <f>SUM(C37:AR37)</f>
        <v>0</v>
      </c>
      <c r="AV37" s="33">
        <f t="shared" si="9"/>
        <v>0</v>
      </c>
    </row>
    <row r="38" spans="1:48" s="16" customFormat="1">
      <c r="A38" s="29"/>
      <c r="B38" s="20" t="s">
        <v>50</v>
      </c>
      <c r="C38" s="35">
        <f t="shared" ref="C38:D38" si="10">SUM(C36:C37)</f>
        <v>0</v>
      </c>
      <c r="D38" s="35">
        <f t="shared" si="10"/>
        <v>0</v>
      </c>
      <c r="E38" s="34"/>
      <c r="F38" s="34"/>
      <c r="G38" s="34"/>
      <c r="H38" s="34"/>
      <c r="I38" s="34"/>
      <c r="J38" s="34"/>
      <c r="K38" s="34"/>
      <c r="L38" s="34"/>
      <c r="M38" s="34"/>
      <c r="N38" s="34"/>
      <c r="O38" s="34"/>
      <c r="P38" s="34"/>
      <c r="Q38" s="34"/>
      <c r="R38" s="34"/>
      <c r="S38" s="34"/>
      <c r="T38" s="34"/>
      <c r="U38" s="34"/>
      <c r="V38" s="34"/>
      <c r="W38" s="34"/>
      <c r="X38" s="34"/>
      <c r="Y38" s="34"/>
      <c r="Z38" s="34"/>
      <c r="AA38" s="34"/>
      <c r="AB38" s="34"/>
      <c r="AC38" s="34"/>
      <c r="AD38" s="34"/>
      <c r="AE38" s="34"/>
      <c r="AF38" s="34"/>
      <c r="AG38" s="34"/>
      <c r="AH38" s="34"/>
      <c r="AI38" s="34"/>
      <c r="AJ38" s="34"/>
      <c r="AK38" s="34"/>
      <c r="AL38" s="34"/>
      <c r="AM38" s="34"/>
      <c r="AN38" s="34"/>
      <c r="AO38" s="34"/>
      <c r="AP38" s="34"/>
      <c r="AQ38" s="34"/>
      <c r="AR38" s="34"/>
      <c r="AS38" s="34"/>
      <c r="AT38" s="34"/>
      <c r="AU38" s="34">
        <f>SUM(AU36:AU37)</f>
        <v>0</v>
      </c>
      <c r="AV38" s="33">
        <f t="shared" si="9"/>
        <v>0</v>
      </c>
    </row>
    <row r="39" spans="1:48">
      <c r="B39" s="83" t="s">
        <v>165</v>
      </c>
      <c r="C39" s="84"/>
      <c r="D39" s="84"/>
      <c r="E39" s="84"/>
      <c r="F39" s="84"/>
      <c r="G39" s="84"/>
      <c r="H39" s="84"/>
      <c r="I39" s="84"/>
      <c r="J39" s="84"/>
      <c r="K39" s="84"/>
      <c r="L39" s="84"/>
      <c r="M39" s="84"/>
      <c r="N39" s="84"/>
      <c r="O39" s="84"/>
      <c r="P39" s="84"/>
      <c r="Q39" s="84"/>
      <c r="R39" s="84"/>
      <c r="S39" s="84"/>
      <c r="T39" s="84"/>
      <c r="U39" s="84"/>
      <c r="V39" s="84"/>
      <c r="W39" s="84"/>
      <c r="X39" s="84"/>
      <c r="Y39" s="84"/>
      <c r="Z39" s="84"/>
      <c r="AA39" s="84"/>
      <c r="AB39" s="84"/>
      <c r="AC39" s="84"/>
      <c r="AD39" s="84"/>
      <c r="AE39" s="84"/>
      <c r="AF39" s="84"/>
      <c r="AG39" s="84"/>
      <c r="AH39" s="84"/>
      <c r="AI39" s="84"/>
      <c r="AJ39" s="84"/>
      <c r="AK39" s="84"/>
      <c r="AL39" s="84"/>
      <c r="AM39" s="84"/>
      <c r="AN39" s="84"/>
      <c r="AO39" s="84"/>
      <c r="AP39" s="84"/>
      <c r="AQ39" s="84"/>
      <c r="AR39" s="84"/>
      <c r="AS39" s="84"/>
      <c r="AT39" s="84"/>
      <c r="AU39" s="84"/>
      <c r="AV39" s="85"/>
    </row>
    <row r="40" spans="1:48">
      <c r="B40" s="68" t="s">
        <v>151</v>
      </c>
      <c r="C40" s="69"/>
      <c r="D40" s="69"/>
      <c r="E40" s="69"/>
      <c r="F40" s="69"/>
      <c r="G40" s="69"/>
      <c r="H40" s="69"/>
      <c r="I40" s="69"/>
      <c r="J40" s="69"/>
      <c r="K40" s="69"/>
      <c r="L40" s="69"/>
      <c r="M40" s="69"/>
      <c r="N40" s="69"/>
      <c r="O40" s="69"/>
      <c r="P40" s="69"/>
      <c r="Q40" s="69"/>
      <c r="R40" s="69"/>
      <c r="S40" s="69"/>
      <c r="T40" s="69"/>
      <c r="U40" s="69"/>
      <c r="V40" s="69"/>
      <c r="W40" s="69"/>
      <c r="X40" s="69"/>
      <c r="Y40" s="69"/>
      <c r="Z40" s="69"/>
      <c r="AA40" s="69"/>
      <c r="AB40" s="69"/>
      <c r="AC40" s="69"/>
      <c r="AD40" s="69"/>
      <c r="AE40" s="69"/>
      <c r="AF40" s="69"/>
      <c r="AG40" s="69"/>
      <c r="AH40" s="69"/>
      <c r="AI40" s="69"/>
      <c r="AJ40" s="69"/>
      <c r="AK40" s="69"/>
      <c r="AL40" s="69"/>
      <c r="AM40" s="69"/>
      <c r="AN40" s="69"/>
      <c r="AO40" s="69"/>
      <c r="AP40" s="69"/>
      <c r="AQ40" s="69"/>
      <c r="AR40" s="69"/>
      <c r="AS40" s="31"/>
      <c r="AT40" s="31"/>
      <c r="AU40" s="31"/>
      <c r="AV40" s="31"/>
    </row>
    <row r="41" spans="1:48">
      <c r="B41" s="21" t="s">
        <v>80</v>
      </c>
      <c r="C41" s="35">
        <f>SUMIFS(AP_Aging!$Q:$Q,AP_Aging!$C:$C,AP_Breakdown!C$1,AP_Aging!$J:$J,AP_Breakdown!$B41,AP_Aging!$G:$G,"非合併事業體及關係人")+SUMIFS(AP_Aging!$Q:$Q,AP_Aging!$C:$C,AP_Breakdown!C$1,AP_Aging!$J:$J,AP_Breakdown!$B41,AP_Aging!$G:$G,"related party")+SUMIFS(AP_Aging!$Q:$Q,AP_Aging!$C:$C,AP_Breakdown!C$1,AP_Aging!$J:$J,AP_Breakdown!$B41,AP_Aging!$G:$G,"3rd party")</f>
        <v>0</v>
      </c>
      <c r="D41" s="35">
        <f>SUMIFS(AP_Aging!$Q:$Q,AP_Aging!$C:$C,AP_Breakdown!D$1,AP_Aging!$J:$J,AP_Breakdown!$B41,AP_Aging!$G:$G,"非合併事業體及關係人")+SUMIFS(AP_Aging!$Q:$Q,AP_Aging!$C:$C,AP_Breakdown!D$1,AP_Aging!$J:$J,AP_Breakdown!$B41,AP_Aging!$G:$G,"related party")+SUMIFS(AP_Aging!$Q:$Q,AP_Aging!$C:$C,AP_Breakdown!D$1,AP_Aging!$J:$J,AP_Breakdown!$B41,AP_Aging!$G:$G,"3rd party")</f>
        <v>0</v>
      </c>
      <c r="E41" s="35"/>
      <c r="F41" s="35"/>
      <c r="G41" s="35"/>
      <c r="H41" s="35"/>
      <c r="I41" s="35"/>
      <c r="J41" s="35"/>
      <c r="K41" s="35"/>
      <c r="L41" s="35"/>
      <c r="M41" s="35"/>
      <c r="N41" s="35"/>
      <c r="O41" s="35"/>
      <c r="P41" s="35"/>
      <c r="Q41" s="35"/>
      <c r="R41" s="35"/>
      <c r="S41" s="35"/>
      <c r="T41" s="35"/>
      <c r="U41" s="35"/>
      <c r="V41" s="35"/>
      <c r="W41" s="35"/>
      <c r="X41" s="35"/>
      <c r="Y41" s="35"/>
      <c r="Z41" s="35"/>
      <c r="AA41" s="35"/>
      <c r="AB41" s="35"/>
      <c r="AC41" s="35"/>
      <c r="AD41" s="35"/>
      <c r="AE41" s="35"/>
      <c r="AF41" s="35"/>
      <c r="AG41" s="35"/>
      <c r="AH41" s="35"/>
      <c r="AI41" s="35"/>
      <c r="AJ41" s="35"/>
      <c r="AK41" s="35"/>
      <c r="AL41" s="35"/>
      <c r="AM41" s="35"/>
      <c r="AN41" s="35"/>
      <c r="AO41" s="35"/>
      <c r="AP41" s="35"/>
      <c r="AQ41" s="35"/>
      <c r="AR41" s="35"/>
      <c r="AS41" s="31">
        <f>SUM(C41:AR41)</f>
        <v>0</v>
      </c>
      <c r="AT41" s="31"/>
      <c r="AU41" s="31">
        <f>AS41+AT41</f>
        <v>0</v>
      </c>
      <c r="AV41" s="31">
        <f>ROUND(AU41/1000,)</f>
        <v>0</v>
      </c>
    </row>
    <row r="42" spans="1:48">
      <c r="B42" s="21" t="s">
        <v>75</v>
      </c>
      <c r="C42" s="35">
        <f>SUMIFS(AP_Aging!$Q:$Q,AP_Aging!$C:$C,AP_Breakdown!C$1,AP_Aging!$J:$J,AP_Breakdown!$B42,AP_Aging!$G:$G,"非合併事業體及關係人")+SUMIFS(AP_Aging!$Q:$Q,AP_Aging!$C:$C,AP_Breakdown!C$1,AP_Aging!$J:$J,AP_Breakdown!$B42,AP_Aging!$G:$G,"related party")+SUMIFS(AP_Aging!$Q:$Q,AP_Aging!$C:$C,AP_Breakdown!C$1,AP_Aging!$J:$J,AP_Breakdown!$B42,AP_Aging!$G:$G,"3rd party")</f>
        <v>0</v>
      </c>
      <c r="D42" s="35">
        <f>SUMIFS(AP_Aging!$Q:$Q,AP_Aging!$C:$C,AP_Breakdown!D$1,AP_Aging!$J:$J,AP_Breakdown!$B42,AP_Aging!$G:$G,"非合併事業體及關係人")+SUMIFS(AP_Aging!$Q:$Q,AP_Aging!$C:$C,AP_Breakdown!D$1,AP_Aging!$J:$J,AP_Breakdown!$B42,AP_Aging!$G:$G,"related party")+SUMIFS(AP_Aging!$Q:$Q,AP_Aging!$C:$C,AP_Breakdown!D$1,AP_Aging!$J:$J,AP_Breakdown!$B42,AP_Aging!$G:$G,"3rd party")</f>
        <v>0</v>
      </c>
      <c r="E42" s="35"/>
      <c r="F42" s="35"/>
      <c r="G42" s="35"/>
      <c r="H42" s="35"/>
      <c r="I42" s="35"/>
      <c r="J42" s="35"/>
      <c r="K42" s="35"/>
      <c r="L42" s="35"/>
      <c r="M42" s="35"/>
      <c r="N42" s="35"/>
      <c r="O42" s="35"/>
      <c r="P42" s="35"/>
      <c r="Q42" s="35"/>
      <c r="R42" s="35"/>
      <c r="S42" s="35"/>
      <c r="T42" s="35"/>
      <c r="U42" s="35"/>
      <c r="V42" s="35"/>
      <c r="W42" s="35"/>
      <c r="X42" s="35"/>
      <c r="Y42" s="35"/>
      <c r="Z42" s="35"/>
      <c r="AA42" s="35"/>
      <c r="AB42" s="35"/>
      <c r="AC42" s="35"/>
      <c r="AD42" s="35"/>
      <c r="AE42" s="35"/>
      <c r="AF42" s="35"/>
      <c r="AG42" s="35"/>
      <c r="AH42" s="35"/>
      <c r="AI42" s="35"/>
      <c r="AJ42" s="35"/>
      <c r="AK42" s="35"/>
      <c r="AL42" s="35"/>
      <c r="AM42" s="35"/>
      <c r="AN42" s="35"/>
      <c r="AO42" s="35"/>
      <c r="AP42" s="35"/>
      <c r="AQ42" s="35"/>
      <c r="AR42" s="35"/>
      <c r="AS42" s="31">
        <f t="shared" ref="AS42:AS45" si="11">SUM(C42:AR42)</f>
        <v>0</v>
      </c>
      <c r="AT42" s="31"/>
      <c r="AU42" s="31">
        <f t="shared" ref="AU42:AU45" si="12">AS42+AT42</f>
        <v>0</v>
      </c>
      <c r="AV42" s="31">
        <f>ROUND(AU42/1000,)</f>
        <v>0</v>
      </c>
    </row>
    <row r="43" spans="1:48">
      <c r="B43" s="21" t="s">
        <v>81</v>
      </c>
      <c r="C43" s="35">
        <f>SUMIFS(AP_Aging!$Q:$Q,AP_Aging!$C:$C,AP_Breakdown!C$1,AP_Aging!$J:$J,AP_Breakdown!$B43,AP_Aging!$G:$G,"非合併事業體及關係人")+SUMIFS(AP_Aging!$Q:$Q,AP_Aging!$C:$C,AP_Breakdown!C$1,AP_Aging!$J:$J,AP_Breakdown!$B43,AP_Aging!$G:$G,"related party")+SUMIFS(AP_Aging!$Q:$Q,AP_Aging!$C:$C,AP_Breakdown!C$1,AP_Aging!$J:$J,AP_Breakdown!$B43,AP_Aging!$G:$G,"3rd party")</f>
        <v>0</v>
      </c>
      <c r="D43" s="35">
        <f>SUMIFS(AP_Aging!$Q:$Q,AP_Aging!$C:$C,AP_Breakdown!D$1,AP_Aging!$J:$J,AP_Breakdown!$B43,AP_Aging!$G:$G,"非合併事業體及關係人")+SUMIFS(AP_Aging!$Q:$Q,AP_Aging!$C:$C,AP_Breakdown!D$1,AP_Aging!$J:$J,AP_Breakdown!$B43,AP_Aging!$G:$G,"related party")+SUMIFS(AP_Aging!$Q:$Q,AP_Aging!$C:$C,AP_Breakdown!D$1,AP_Aging!$J:$J,AP_Breakdown!$B43,AP_Aging!$G:$G,"3rd party")</f>
        <v>0</v>
      </c>
      <c r="E43" s="35"/>
      <c r="F43" s="35"/>
      <c r="G43" s="35"/>
      <c r="H43" s="35"/>
      <c r="I43" s="35"/>
      <c r="J43" s="35"/>
      <c r="K43" s="35"/>
      <c r="L43" s="35"/>
      <c r="M43" s="35"/>
      <c r="N43" s="35"/>
      <c r="O43" s="35"/>
      <c r="P43" s="35"/>
      <c r="Q43" s="35"/>
      <c r="R43" s="35"/>
      <c r="S43" s="35"/>
      <c r="T43" s="35"/>
      <c r="U43" s="35"/>
      <c r="V43" s="35"/>
      <c r="W43" s="35"/>
      <c r="X43" s="35"/>
      <c r="Y43" s="35"/>
      <c r="Z43" s="35"/>
      <c r="AA43" s="35"/>
      <c r="AB43" s="35"/>
      <c r="AC43" s="35"/>
      <c r="AD43" s="35"/>
      <c r="AE43" s="35"/>
      <c r="AF43" s="35"/>
      <c r="AG43" s="35"/>
      <c r="AH43" s="35"/>
      <c r="AI43" s="35"/>
      <c r="AJ43" s="35"/>
      <c r="AK43" s="35"/>
      <c r="AL43" s="35"/>
      <c r="AM43" s="35"/>
      <c r="AN43" s="35"/>
      <c r="AO43" s="35"/>
      <c r="AP43" s="35"/>
      <c r="AQ43" s="35"/>
      <c r="AR43" s="35"/>
      <c r="AS43" s="31">
        <f t="shared" si="11"/>
        <v>0</v>
      </c>
      <c r="AT43" s="31"/>
      <c r="AU43" s="31">
        <f t="shared" si="12"/>
        <v>0</v>
      </c>
      <c r="AV43" s="31">
        <f>ROUND(AU43/1000,)</f>
        <v>0</v>
      </c>
    </row>
    <row r="44" spans="1:48">
      <c r="B44" s="21" t="s">
        <v>82</v>
      </c>
      <c r="C44" s="35">
        <f t="shared" ref="C44:D44" si="13">C45-C41-C42-C43</f>
        <v>0</v>
      </c>
      <c r="D44" s="35">
        <f t="shared" si="13"/>
        <v>0</v>
      </c>
      <c r="E44" s="35"/>
      <c r="F44" s="35"/>
      <c r="G44" s="35"/>
      <c r="H44" s="35"/>
      <c r="I44" s="35"/>
      <c r="J44" s="35"/>
      <c r="K44" s="35"/>
      <c r="L44" s="35"/>
      <c r="M44" s="35"/>
      <c r="N44" s="35"/>
      <c r="O44" s="35"/>
      <c r="P44" s="35"/>
      <c r="Q44" s="35"/>
      <c r="R44" s="35"/>
      <c r="S44" s="35"/>
      <c r="T44" s="35"/>
      <c r="U44" s="35"/>
      <c r="V44" s="35"/>
      <c r="W44" s="35"/>
      <c r="X44" s="35"/>
      <c r="Y44" s="35"/>
      <c r="Z44" s="35"/>
      <c r="AA44" s="35"/>
      <c r="AB44" s="35"/>
      <c r="AC44" s="35"/>
      <c r="AD44" s="35"/>
      <c r="AE44" s="35"/>
      <c r="AF44" s="35"/>
      <c r="AG44" s="35"/>
      <c r="AH44" s="35"/>
      <c r="AI44" s="35"/>
      <c r="AJ44" s="35"/>
      <c r="AK44" s="35"/>
      <c r="AL44" s="35"/>
      <c r="AM44" s="35"/>
      <c r="AN44" s="35"/>
      <c r="AO44" s="35"/>
      <c r="AP44" s="35"/>
      <c r="AQ44" s="35"/>
      <c r="AR44" s="35"/>
      <c r="AS44" s="31">
        <f t="shared" si="11"/>
        <v>0</v>
      </c>
      <c r="AT44" s="31"/>
      <c r="AU44" s="31">
        <f t="shared" si="12"/>
        <v>0</v>
      </c>
      <c r="AV44" s="31">
        <f>ROUND(AU44/1000,)</f>
        <v>0</v>
      </c>
    </row>
    <row r="45" spans="1:48">
      <c r="B45" s="21" t="s">
        <v>50</v>
      </c>
      <c r="C45" s="35">
        <f>SUMIFS(AP_Aging!$Q:$Q,AP_Aging!$C:$C,AP_Breakdown!C$1,AP_Aging!$G:$G,"非合併事業體及關係人")+SUMIFS(AP_Aging!$Q:$Q,AP_Aging!$C:$C,AP_Breakdown!C$1,AP_Aging!$G:$G,"related party")+SUMIFS(AP_Aging!$Q:$Q,AP_Aging!$C:$C,AP_Breakdown!C$1,AP_Aging!$G:$G,"3rd party")</f>
        <v>0</v>
      </c>
      <c r="D45" s="35">
        <f>SUMIFS(AP_Aging!$Q:$Q,AP_Aging!$C:$C,AP_Breakdown!D$1,AP_Aging!$G:$G,"非合併事業體及關係人")+SUMIFS(AP_Aging!$Q:$Q,AP_Aging!$C:$C,AP_Breakdown!D$1,AP_Aging!$G:$G,"related party")+SUMIFS(AP_Aging!$Q:$Q,AP_Aging!$C:$C,AP_Breakdown!D$1,AP_Aging!$G:$G,"3rd party")</f>
        <v>0</v>
      </c>
      <c r="E45" s="35"/>
      <c r="F45" s="35"/>
      <c r="G45" s="35"/>
      <c r="H45" s="35"/>
      <c r="I45" s="35"/>
      <c r="J45" s="35"/>
      <c r="K45" s="35"/>
      <c r="L45" s="35"/>
      <c r="M45" s="35"/>
      <c r="N45" s="35"/>
      <c r="O45" s="35"/>
      <c r="P45" s="35"/>
      <c r="Q45" s="35"/>
      <c r="R45" s="35"/>
      <c r="S45" s="35"/>
      <c r="T45" s="35"/>
      <c r="U45" s="35"/>
      <c r="V45" s="35"/>
      <c r="W45" s="35"/>
      <c r="X45" s="35"/>
      <c r="Y45" s="35"/>
      <c r="Z45" s="35"/>
      <c r="AA45" s="35"/>
      <c r="AB45" s="35"/>
      <c r="AC45" s="35"/>
      <c r="AD45" s="35"/>
      <c r="AE45" s="35"/>
      <c r="AF45" s="35"/>
      <c r="AG45" s="35"/>
      <c r="AH45" s="35"/>
      <c r="AI45" s="35"/>
      <c r="AJ45" s="35"/>
      <c r="AK45" s="35"/>
      <c r="AL45" s="35"/>
      <c r="AM45" s="35"/>
      <c r="AN45" s="35"/>
      <c r="AO45" s="35"/>
      <c r="AP45" s="35"/>
      <c r="AQ45" s="35"/>
      <c r="AR45" s="35"/>
      <c r="AS45" s="31">
        <f t="shared" si="11"/>
        <v>0</v>
      </c>
      <c r="AT45" s="31" t="e">
        <f>[1]!HsGetValue(conn,"Entity#C60452;Account#"&amp;$A$5&amp;大表科目本位幣調整AJE)+[1]!HsGetValue(conn,"Entity#C60452;Account#"&amp;$A$6&amp;大表科目本位幣調整AJE)+[1]!HsGetValue(conn,"Entity#C60452;Account#"&amp;$A$7&amp;大表科目本位幣調整AJE)+[1]!HsGetValue(conn,"Entity#C60452;Account#"&amp;$A$8&amp;大表科目本位幣調整AJE)</f>
        <v>#VALUE!</v>
      </c>
      <c r="AU45" s="31" t="e">
        <f t="shared" si="12"/>
        <v>#VALUE!</v>
      </c>
      <c r="AV45" s="31" t="e">
        <f>ROUND(AU45/1000,)</f>
        <v>#VALUE!</v>
      </c>
    </row>
    <row r="46" spans="1:48" ht="12" customHeight="1">
      <c r="B46" s="21" t="s">
        <v>154</v>
      </c>
      <c r="C46" s="35"/>
      <c r="D46" s="35"/>
      <c r="E46" s="35"/>
      <c r="F46" s="35"/>
      <c r="G46" s="35"/>
      <c r="H46" s="35"/>
      <c r="I46" s="35"/>
      <c r="J46" s="35"/>
      <c r="K46" s="35"/>
      <c r="L46" s="35"/>
      <c r="M46" s="35"/>
      <c r="N46" s="35"/>
      <c r="O46" s="35"/>
      <c r="P46" s="35"/>
      <c r="Q46" s="35"/>
      <c r="R46" s="35"/>
      <c r="S46" s="35"/>
      <c r="T46" s="35"/>
      <c r="U46" s="35"/>
      <c r="V46" s="35"/>
      <c r="W46" s="35"/>
      <c r="X46" s="35"/>
      <c r="Y46" s="35"/>
      <c r="Z46" s="35"/>
      <c r="AA46" s="35"/>
      <c r="AB46" s="35"/>
      <c r="AC46" s="35"/>
      <c r="AD46" s="35"/>
      <c r="AE46" s="35"/>
      <c r="AF46" s="35"/>
      <c r="AG46" s="35"/>
      <c r="AH46" s="35"/>
      <c r="AI46" s="35"/>
      <c r="AJ46" s="35"/>
      <c r="AK46" s="35"/>
      <c r="AL46" s="35"/>
      <c r="AM46" s="35"/>
      <c r="AN46" s="35"/>
      <c r="AO46" s="35"/>
      <c r="AP46" s="35"/>
      <c r="AQ46" s="35"/>
      <c r="AR46" s="35"/>
      <c r="AS46" s="31"/>
      <c r="AT46" s="31"/>
      <c r="AU46" s="31" t="e">
        <f>AU45-AU33</f>
        <v>#VALUE!</v>
      </c>
      <c r="AV46" s="31"/>
    </row>
    <row r="47" spans="1:48">
      <c r="B47" s="68" t="s">
        <v>83</v>
      </c>
      <c r="C47" s="69"/>
      <c r="D47" s="69"/>
      <c r="E47" s="69"/>
      <c r="F47" s="69"/>
      <c r="G47" s="69"/>
      <c r="H47" s="69"/>
      <c r="I47" s="69"/>
      <c r="J47" s="69"/>
      <c r="K47" s="69"/>
      <c r="L47" s="69"/>
      <c r="M47" s="69"/>
      <c r="N47" s="69"/>
      <c r="O47" s="69"/>
      <c r="P47" s="69"/>
      <c r="Q47" s="69"/>
      <c r="R47" s="69"/>
      <c r="S47" s="69"/>
      <c r="T47" s="69"/>
      <c r="U47" s="69"/>
      <c r="V47" s="69"/>
      <c r="W47" s="69"/>
      <c r="X47" s="69"/>
      <c r="Y47" s="69"/>
      <c r="Z47" s="69"/>
      <c r="AA47" s="69"/>
      <c r="AB47" s="69"/>
      <c r="AC47" s="69"/>
      <c r="AD47" s="69"/>
      <c r="AE47" s="69"/>
      <c r="AF47" s="69"/>
      <c r="AG47" s="69"/>
      <c r="AH47" s="69"/>
      <c r="AI47" s="69"/>
      <c r="AJ47" s="69"/>
      <c r="AK47" s="69"/>
      <c r="AL47" s="69"/>
      <c r="AM47" s="69"/>
      <c r="AN47" s="69"/>
      <c r="AO47" s="69"/>
      <c r="AP47" s="69"/>
      <c r="AQ47" s="69"/>
      <c r="AR47" s="69"/>
      <c r="AS47" s="31"/>
      <c r="AT47" s="31"/>
      <c r="AU47" s="31"/>
      <c r="AV47" s="31"/>
    </row>
    <row r="48" spans="1:48">
      <c r="B48" s="21" t="s">
        <v>84</v>
      </c>
      <c r="C48" s="35">
        <f>SUMIFS(AP_Aging!$R:$R,AP_Aging!$C:$C,AP_Breakdown!C$1,AP_Aging!$G:$G,"非合併事業體及關係人")+SUMIFS(AP_Aging!$R:$R,AP_Aging!$C:$C,AP_Breakdown!C$1,AP_Aging!$G:$G,"related party")+SUMIFS(AP_Aging!$R:$R,AP_Aging!$C:$C,AP_Breakdown!C$1,AP_Aging!$G:$G,"3rd party")</f>
        <v>0</v>
      </c>
      <c r="D48" s="35">
        <f>SUMIFS(AP_Aging!$R:$R,AP_Aging!$C:$C,AP_Breakdown!D$1,AP_Aging!$G:$G,"非合併事業體及關係人")+SUMIFS(AP_Aging!$R:$R,AP_Aging!$C:$C,AP_Breakdown!D$1,AP_Aging!$G:$G,"related party")+SUMIFS(AP_Aging!$R:$R,AP_Aging!$C:$C,AP_Breakdown!D$1,AP_Aging!$G:$G,"3rd party")</f>
        <v>0</v>
      </c>
      <c r="E48" s="35"/>
      <c r="F48" s="35"/>
      <c r="G48" s="35"/>
      <c r="H48" s="35"/>
      <c r="I48" s="35"/>
      <c r="J48" s="35"/>
      <c r="K48" s="35"/>
      <c r="L48" s="35"/>
      <c r="M48" s="35"/>
      <c r="N48" s="35"/>
      <c r="O48" s="35"/>
      <c r="P48" s="35"/>
      <c r="Q48" s="35"/>
      <c r="R48" s="35"/>
      <c r="S48" s="35"/>
      <c r="T48" s="35"/>
      <c r="U48" s="35"/>
      <c r="V48" s="35"/>
      <c r="W48" s="35"/>
      <c r="X48" s="35"/>
      <c r="Y48" s="35"/>
      <c r="Z48" s="35"/>
      <c r="AA48" s="35"/>
      <c r="AB48" s="35"/>
      <c r="AC48" s="35"/>
      <c r="AD48" s="35"/>
      <c r="AE48" s="35"/>
      <c r="AF48" s="35"/>
      <c r="AG48" s="35"/>
      <c r="AH48" s="35"/>
      <c r="AI48" s="35"/>
      <c r="AJ48" s="35"/>
      <c r="AK48" s="35"/>
      <c r="AL48" s="35"/>
      <c r="AM48" s="35"/>
      <c r="AN48" s="35"/>
      <c r="AO48" s="35"/>
      <c r="AP48" s="35"/>
      <c r="AQ48" s="35"/>
      <c r="AR48" s="35"/>
      <c r="AS48" s="31">
        <f>SUM(C48:AR48)</f>
        <v>0</v>
      </c>
      <c r="AT48" s="31"/>
      <c r="AU48" s="31"/>
      <c r="AV48" s="31"/>
    </row>
    <row r="49" spans="2:48">
      <c r="B49" s="21" t="s">
        <v>85</v>
      </c>
      <c r="C49" s="35">
        <f>SUMIFS(AP_Aging!$S:$S,AP_Aging!$C:$C,AP_Breakdown!C$1,AP_Aging!$G:$G,"非合併事業體及關係人")+SUMIFS(AP_Aging!$S:$S,AP_Aging!$C:$C,AP_Breakdown!C$1,AP_Aging!$G:$G,"related party")+SUMIFS(AP_Aging!$S:$S,AP_Aging!$C:$C,AP_Breakdown!C$1,AP_Aging!$G:$G,"3rd party")</f>
        <v>0</v>
      </c>
      <c r="D49" s="35">
        <f>SUMIFS(AP_Aging!$S:$S,AP_Aging!$C:$C,AP_Breakdown!D$1,AP_Aging!$G:$G,"非合併事業體及關係人")+SUMIFS(AP_Aging!$S:$S,AP_Aging!$C:$C,AP_Breakdown!D$1,AP_Aging!$G:$G,"related party")+SUMIFS(AP_Aging!$S:$S,AP_Aging!$C:$C,AP_Breakdown!D$1,AP_Aging!$G:$G,"3rd party")</f>
        <v>0</v>
      </c>
      <c r="E49" s="35"/>
      <c r="F49" s="35"/>
      <c r="G49" s="35"/>
      <c r="H49" s="35"/>
      <c r="I49" s="35"/>
      <c r="J49" s="35"/>
      <c r="K49" s="35"/>
      <c r="L49" s="35"/>
      <c r="M49" s="35"/>
      <c r="N49" s="35"/>
      <c r="O49" s="35"/>
      <c r="P49" s="35"/>
      <c r="Q49" s="35"/>
      <c r="R49" s="35"/>
      <c r="S49" s="35"/>
      <c r="T49" s="35"/>
      <c r="U49" s="35"/>
      <c r="V49" s="35"/>
      <c r="W49" s="35"/>
      <c r="X49" s="35"/>
      <c r="Y49" s="35"/>
      <c r="Z49" s="35"/>
      <c r="AA49" s="35"/>
      <c r="AB49" s="35"/>
      <c r="AC49" s="35"/>
      <c r="AD49" s="35"/>
      <c r="AE49" s="35"/>
      <c r="AF49" s="35"/>
      <c r="AG49" s="35"/>
      <c r="AH49" s="35"/>
      <c r="AI49" s="35"/>
      <c r="AJ49" s="35"/>
      <c r="AK49" s="35"/>
      <c r="AL49" s="35"/>
      <c r="AM49" s="35"/>
      <c r="AN49" s="35"/>
      <c r="AO49" s="35"/>
      <c r="AP49" s="35"/>
      <c r="AQ49" s="35"/>
      <c r="AR49" s="35"/>
      <c r="AS49" s="31">
        <f t="shared" ref="AS49:AS55" si="14">SUM(C49:AR49)</f>
        <v>0</v>
      </c>
      <c r="AT49" s="31"/>
      <c r="AU49" s="31"/>
      <c r="AV49" s="31"/>
    </row>
    <row r="50" spans="2:48">
      <c r="B50" s="21" t="s">
        <v>86</v>
      </c>
      <c r="C50" s="35">
        <f>SUMIFS(AP_Aging!$T:$T,AP_Aging!$C:$C,AP_Breakdown!C$1,AP_Aging!$G:$G,"非合併事業體及關係人")+SUMIFS(AP_Aging!$T:$T,AP_Aging!$C:$C,AP_Breakdown!C$1,AP_Aging!$G:$G,"related party")+SUMIFS(AP_Aging!$T:$T,AP_Aging!$C:$C,AP_Breakdown!C$1,AP_Aging!$G:$G,"3rd party")</f>
        <v>0</v>
      </c>
      <c r="D50" s="35">
        <f>SUMIFS(AP_Aging!$T:$T,AP_Aging!$C:$C,AP_Breakdown!D$1,AP_Aging!$G:$G,"非合併事業體及關係人")+SUMIFS(AP_Aging!$T:$T,AP_Aging!$C:$C,AP_Breakdown!D$1,AP_Aging!$G:$G,"related party")+SUMIFS(AP_Aging!$T:$T,AP_Aging!$C:$C,AP_Breakdown!D$1,AP_Aging!$G:$G,"3rd party")</f>
        <v>0</v>
      </c>
      <c r="E50" s="35"/>
      <c r="F50" s="35"/>
      <c r="G50" s="35"/>
      <c r="H50" s="35"/>
      <c r="I50" s="35"/>
      <c r="J50" s="35"/>
      <c r="K50" s="35"/>
      <c r="L50" s="35"/>
      <c r="M50" s="35"/>
      <c r="N50" s="35"/>
      <c r="O50" s="35"/>
      <c r="P50" s="35"/>
      <c r="Q50" s="35"/>
      <c r="R50" s="35"/>
      <c r="S50" s="35"/>
      <c r="T50" s="35"/>
      <c r="U50" s="35"/>
      <c r="V50" s="35"/>
      <c r="W50" s="35"/>
      <c r="X50" s="35"/>
      <c r="Y50" s="35"/>
      <c r="Z50" s="35"/>
      <c r="AA50" s="35"/>
      <c r="AB50" s="35"/>
      <c r="AC50" s="35"/>
      <c r="AD50" s="35"/>
      <c r="AE50" s="35"/>
      <c r="AF50" s="35"/>
      <c r="AG50" s="35"/>
      <c r="AH50" s="35"/>
      <c r="AI50" s="35"/>
      <c r="AJ50" s="35"/>
      <c r="AK50" s="35"/>
      <c r="AL50" s="35"/>
      <c r="AM50" s="35"/>
      <c r="AN50" s="35"/>
      <c r="AO50" s="35"/>
      <c r="AP50" s="35"/>
      <c r="AQ50" s="35"/>
      <c r="AR50" s="35"/>
      <c r="AS50" s="31">
        <f t="shared" si="14"/>
        <v>0</v>
      </c>
      <c r="AT50" s="31"/>
      <c r="AU50" s="31"/>
      <c r="AV50" s="31"/>
    </row>
    <row r="51" spans="2:48">
      <c r="B51" s="21" t="s">
        <v>87</v>
      </c>
      <c r="C51" s="35">
        <f>SUMIFS(AP_Aging!$U:$U,AP_Aging!$C:$C,AP_Breakdown!C$1,AP_Aging!$G:$G,"非合併事業體及關係人")+SUMIFS(AP_Aging!$U:$U,AP_Aging!$C:$C,AP_Breakdown!C$1,AP_Aging!$G:$G,"related party")+SUMIFS(AP_Aging!$U:$U,AP_Aging!$C:$C,AP_Breakdown!C$1,AP_Aging!$G:$G,"3rd party")</f>
        <v>0</v>
      </c>
      <c r="D51" s="35">
        <f>SUMIFS(AP_Aging!$U:$U,AP_Aging!$C:$C,AP_Breakdown!D$1,AP_Aging!$G:$G,"非合併事業體及關係人")+SUMIFS(AP_Aging!$U:$U,AP_Aging!$C:$C,AP_Breakdown!D$1,AP_Aging!$G:$G,"related party")+SUMIFS(AP_Aging!$U:$U,AP_Aging!$C:$C,AP_Breakdown!D$1,AP_Aging!$G:$G,"3rd party")</f>
        <v>0</v>
      </c>
      <c r="E51" s="35"/>
      <c r="F51" s="35"/>
      <c r="G51" s="35"/>
      <c r="H51" s="35"/>
      <c r="I51" s="35"/>
      <c r="J51" s="35"/>
      <c r="K51" s="35"/>
      <c r="L51" s="35"/>
      <c r="M51" s="35"/>
      <c r="N51" s="35"/>
      <c r="O51" s="35"/>
      <c r="P51" s="35"/>
      <c r="Q51" s="35"/>
      <c r="R51" s="35"/>
      <c r="S51" s="35"/>
      <c r="T51" s="35"/>
      <c r="U51" s="35"/>
      <c r="V51" s="35"/>
      <c r="W51" s="35"/>
      <c r="X51" s="35"/>
      <c r="Y51" s="35"/>
      <c r="Z51" s="35"/>
      <c r="AA51" s="35"/>
      <c r="AB51" s="35"/>
      <c r="AC51" s="35"/>
      <c r="AD51" s="35"/>
      <c r="AE51" s="35"/>
      <c r="AF51" s="35"/>
      <c r="AG51" s="35"/>
      <c r="AH51" s="35"/>
      <c r="AI51" s="35"/>
      <c r="AJ51" s="35"/>
      <c r="AK51" s="35"/>
      <c r="AL51" s="35"/>
      <c r="AM51" s="35"/>
      <c r="AN51" s="35"/>
      <c r="AO51" s="35"/>
      <c r="AP51" s="35"/>
      <c r="AQ51" s="35"/>
      <c r="AR51" s="35"/>
      <c r="AS51" s="31">
        <f t="shared" si="14"/>
        <v>0</v>
      </c>
      <c r="AT51" s="31"/>
      <c r="AU51" s="31"/>
      <c r="AV51" s="31"/>
    </row>
    <row r="52" spans="2:48">
      <c r="B52" s="21" t="s">
        <v>106</v>
      </c>
      <c r="C52" s="35">
        <f>SUMIFS(AP_Aging!$V:$V,AP_Aging!$C:$C,AP_Breakdown!C$1,AP_Aging!$G:$G,"非合併事業體及關係人")+SUMIFS(AP_Aging!$V:$V,AP_Aging!$C:$C,AP_Breakdown!C$1,AP_Aging!$G:$G,"related party")+SUMIFS(AP_Aging!$V:$V,AP_Aging!$C:$C,AP_Breakdown!C$1,AP_Aging!$G:$G,"3rd party")</f>
        <v>0</v>
      </c>
      <c r="D52" s="35">
        <f>SUMIFS(AP_Aging!$V:$V,AP_Aging!$C:$C,AP_Breakdown!D$1,AP_Aging!$G:$G,"非合併事業體及關係人")+SUMIFS(AP_Aging!$V:$V,AP_Aging!$C:$C,AP_Breakdown!D$1,AP_Aging!$G:$G,"related party")+SUMIFS(AP_Aging!$V:$V,AP_Aging!$C:$C,AP_Breakdown!D$1,AP_Aging!$G:$G,"3rd party")</f>
        <v>0</v>
      </c>
      <c r="E52" s="35"/>
      <c r="F52" s="35"/>
      <c r="G52" s="35"/>
      <c r="H52" s="35"/>
      <c r="I52" s="35"/>
      <c r="J52" s="35"/>
      <c r="K52" s="35"/>
      <c r="L52" s="35"/>
      <c r="M52" s="35"/>
      <c r="N52" s="35"/>
      <c r="O52" s="35"/>
      <c r="P52" s="35"/>
      <c r="Q52" s="35"/>
      <c r="R52" s="35"/>
      <c r="S52" s="35"/>
      <c r="T52" s="35"/>
      <c r="U52" s="35"/>
      <c r="V52" s="35"/>
      <c r="W52" s="35"/>
      <c r="X52" s="35"/>
      <c r="Y52" s="35"/>
      <c r="Z52" s="35"/>
      <c r="AA52" s="35"/>
      <c r="AB52" s="35"/>
      <c r="AC52" s="35"/>
      <c r="AD52" s="35"/>
      <c r="AE52" s="35"/>
      <c r="AF52" s="35"/>
      <c r="AG52" s="35"/>
      <c r="AH52" s="35"/>
      <c r="AI52" s="35"/>
      <c r="AJ52" s="35"/>
      <c r="AK52" s="35"/>
      <c r="AL52" s="35"/>
      <c r="AM52" s="35"/>
      <c r="AN52" s="35"/>
      <c r="AO52" s="35"/>
      <c r="AP52" s="35"/>
      <c r="AQ52" s="35"/>
      <c r="AR52" s="35"/>
      <c r="AS52" s="31">
        <f t="shared" si="14"/>
        <v>0</v>
      </c>
      <c r="AT52" s="31"/>
      <c r="AU52" s="31"/>
      <c r="AV52" s="31"/>
    </row>
    <row r="53" spans="2:48">
      <c r="B53" s="21" t="s">
        <v>107</v>
      </c>
      <c r="C53" s="35">
        <f>SUMIFS(AP_Aging!$W:$W,AP_Aging!$C:$C,AP_Breakdown!C$1,AP_Aging!$G:$G,"非合併事業體及關係人")+SUMIFS(AP_Aging!$W:$W,AP_Aging!$C:$C,AP_Breakdown!C$1,AP_Aging!$G:$G,"related party")+SUMIFS(AP_Aging!$W:$W,AP_Aging!$C:$C,AP_Breakdown!C$1,AP_Aging!$G:$G,"3rd party")</f>
        <v>0</v>
      </c>
      <c r="D53" s="35">
        <f>SUMIFS(AP_Aging!$W:$W,AP_Aging!$C:$C,AP_Breakdown!D$1,AP_Aging!$G:$G,"非合併事業體及關係人")+SUMIFS(AP_Aging!$W:$W,AP_Aging!$C:$C,AP_Breakdown!D$1,AP_Aging!$G:$G,"related party")+SUMIFS(AP_Aging!$W:$W,AP_Aging!$C:$C,AP_Breakdown!D$1,AP_Aging!$G:$G,"3rd party")</f>
        <v>0</v>
      </c>
      <c r="E53" s="35"/>
      <c r="F53" s="35" t="s">
        <v>127</v>
      </c>
      <c r="G53" s="35"/>
      <c r="H53" s="35"/>
      <c r="I53" s="35"/>
      <c r="J53" s="35"/>
      <c r="K53" s="35"/>
      <c r="L53" s="35"/>
      <c r="M53" s="35"/>
      <c r="N53" s="35"/>
      <c r="O53" s="35"/>
      <c r="P53" s="35"/>
      <c r="Q53" s="35"/>
      <c r="R53" s="35"/>
      <c r="S53" s="35"/>
      <c r="T53" s="35"/>
      <c r="U53" s="35"/>
      <c r="V53" s="35"/>
      <c r="W53" s="35"/>
      <c r="X53" s="35"/>
      <c r="Y53" s="35"/>
      <c r="Z53" s="35"/>
      <c r="AA53" s="35"/>
      <c r="AB53" s="35"/>
      <c r="AC53" s="35"/>
      <c r="AD53" s="35"/>
      <c r="AE53" s="35"/>
      <c r="AF53" s="35"/>
      <c r="AG53" s="35"/>
      <c r="AH53" s="35"/>
      <c r="AI53" s="35"/>
      <c r="AJ53" s="35"/>
      <c r="AK53" s="35"/>
      <c r="AL53" s="35"/>
      <c r="AM53" s="35"/>
      <c r="AN53" s="35"/>
      <c r="AO53" s="35"/>
      <c r="AP53" s="35"/>
      <c r="AQ53" s="35"/>
      <c r="AR53" s="35"/>
      <c r="AS53" s="31">
        <f t="shared" si="14"/>
        <v>0</v>
      </c>
      <c r="AT53" s="31"/>
      <c r="AU53" s="31"/>
      <c r="AV53" s="31"/>
    </row>
    <row r="54" spans="2:48">
      <c r="B54" s="21" t="s">
        <v>88</v>
      </c>
      <c r="C54" s="35">
        <f>SUMIFS(AP_Aging!$X:$X,AP_Aging!$C:$C,AP_Breakdown!C$1,AP_Aging!$G:$G,"非合併事業體及關係人")+SUMIFS(AP_Aging!$X:$X,AP_Aging!$C:$C,AP_Breakdown!C$1,AP_Aging!$G:$G,"related party")+SUMIFS(AP_Aging!$X:$X,AP_Aging!$C:$C,AP_Breakdown!C$1,AP_Aging!$G:$G,"3rd party")</f>
        <v>0</v>
      </c>
      <c r="D54" s="35">
        <f>SUMIFS(AP_Aging!$X:$X,AP_Aging!$C:$C,AP_Breakdown!D$1,AP_Aging!$G:$G,"非合併事業體及關係人")+SUMIFS(AP_Aging!$X:$X,AP_Aging!$C:$C,AP_Breakdown!D$1,AP_Aging!$G:$G,"related party")+SUMIFS(AP_Aging!$X:$X,AP_Aging!$C:$C,AP_Breakdown!D$1,AP_Aging!$G:$G,"3rd party")</f>
        <v>0</v>
      </c>
      <c r="E54" s="35"/>
      <c r="F54" s="35"/>
      <c r="G54" s="35"/>
      <c r="H54" s="35"/>
      <c r="I54" s="35"/>
      <c r="J54" s="35"/>
      <c r="K54" s="35"/>
      <c r="L54" s="35"/>
      <c r="M54" s="35"/>
      <c r="N54" s="35"/>
      <c r="O54" s="35"/>
      <c r="P54" s="35"/>
      <c r="Q54" s="35"/>
      <c r="R54" s="35"/>
      <c r="S54" s="35"/>
      <c r="T54" s="35"/>
      <c r="U54" s="35"/>
      <c r="V54" s="35"/>
      <c r="W54" s="35"/>
      <c r="X54" s="35"/>
      <c r="Y54" s="35"/>
      <c r="Z54" s="35"/>
      <c r="AA54" s="35"/>
      <c r="AB54" s="35"/>
      <c r="AC54" s="35"/>
      <c r="AD54" s="35"/>
      <c r="AE54" s="35"/>
      <c r="AF54" s="35"/>
      <c r="AG54" s="35"/>
      <c r="AH54" s="35"/>
      <c r="AI54" s="35"/>
      <c r="AJ54" s="35"/>
      <c r="AK54" s="35"/>
      <c r="AL54" s="35"/>
      <c r="AM54" s="35"/>
      <c r="AN54" s="35"/>
      <c r="AO54" s="35"/>
      <c r="AP54" s="35"/>
      <c r="AQ54" s="35"/>
      <c r="AR54" s="35"/>
      <c r="AS54" s="31">
        <f t="shared" si="14"/>
        <v>0</v>
      </c>
      <c r="AT54" s="31"/>
      <c r="AU54" s="31"/>
      <c r="AV54" s="31"/>
    </row>
    <row r="55" spans="2:48">
      <c r="B55" s="21" t="s">
        <v>50</v>
      </c>
      <c r="C55" s="35">
        <f t="shared" ref="C55:D55" si="15">SUM(C48:C54)</f>
        <v>0</v>
      </c>
      <c r="D55" s="35">
        <f t="shared" si="15"/>
        <v>0</v>
      </c>
      <c r="E55" s="35"/>
      <c r="F55" s="35"/>
      <c r="G55" s="35"/>
      <c r="H55" s="35"/>
      <c r="I55" s="35"/>
      <c r="J55" s="35"/>
      <c r="K55" s="35"/>
      <c r="L55" s="35"/>
      <c r="M55" s="35"/>
      <c r="N55" s="35"/>
      <c r="O55" s="35"/>
      <c r="P55" s="35"/>
      <c r="Q55" s="35"/>
      <c r="R55" s="35"/>
      <c r="S55" s="35"/>
      <c r="T55" s="35"/>
      <c r="U55" s="35"/>
      <c r="V55" s="35"/>
      <c r="W55" s="35"/>
      <c r="X55" s="35"/>
      <c r="Y55" s="35"/>
      <c r="Z55" s="35"/>
      <c r="AA55" s="35"/>
      <c r="AB55" s="35"/>
      <c r="AC55" s="35"/>
      <c r="AD55" s="35"/>
      <c r="AE55" s="35"/>
      <c r="AF55" s="35"/>
      <c r="AG55" s="35"/>
      <c r="AH55" s="35"/>
      <c r="AI55" s="35"/>
      <c r="AJ55" s="35"/>
      <c r="AK55" s="35"/>
      <c r="AL55" s="35"/>
      <c r="AM55" s="35"/>
      <c r="AN55" s="35"/>
      <c r="AO55" s="35"/>
      <c r="AP55" s="35"/>
      <c r="AQ55" s="35"/>
      <c r="AR55" s="35"/>
      <c r="AS55" s="31">
        <f t="shared" si="14"/>
        <v>0</v>
      </c>
      <c r="AT55" s="31" t="e">
        <f>[1]!HsGetValue(conn,"Entity#C60452;Account#"&amp;$A$5&amp;大表科目本位幣調整AJE)+[1]!HsGetValue(conn,"Entity#C60452;Account#"&amp;$A$6&amp;大表科目本位幣調整AJE)+[1]!HsGetValue(conn,"Entity#C60452;Account#"&amp;$A$7&amp;大表科目本位幣調整AJE)+[1]!HsGetValue(conn,"Entity#C60452;Account#"&amp;$A$8&amp;大表科目本位幣調整AJE)</f>
        <v>#VALUE!</v>
      </c>
      <c r="AU55" s="31" t="e">
        <f>AS55+AT55</f>
        <v>#VALUE!</v>
      </c>
      <c r="AV55" s="31" t="e">
        <f t="shared" ref="AV55" si="16">ROUND(AU55/1000,)</f>
        <v>#VALUE!</v>
      </c>
    </row>
    <row r="56" spans="2:48">
      <c r="B56" s="21" t="s">
        <v>154</v>
      </c>
      <c r="C56" s="35"/>
      <c r="D56" s="35"/>
      <c r="E56" s="35"/>
      <c r="F56" s="35"/>
      <c r="G56" s="35"/>
      <c r="H56" s="35"/>
      <c r="I56" s="35"/>
      <c r="J56" s="35"/>
      <c r="K56" s="35"/>
      <c r="L56" s="35"/>
      <c r="M56" s="35"/>
      <c r="N56" s="35"/>
      <c r="O56" s="35"/>
      <c r="P56" s="35"/>
      <c r="Q56" s="35"/>
      <c r="R56" s="35"/>
      <c r="S56" s="35"/>
      <c r="T56" s="35"/>
      <c r="U56" s="35"/>
      <c r="V56" s="35"/>
      <c r="W56" s="35"/>
      <c r="X56" s="35"/>
      <c r="Y56" s="35"/>
      <c r="Z56" s="35"/>
      <c r="AA56" s="35"/>
      <c r="AB56" s="35"/>
      <c r="AC56" s="35"/>
      <c r="AD56" s="35"/>
      <c r="AE56" s="35"/>
      <c r="AF56" s="35"/>
      <c r="AG56" s="35"/>
      <c r="AH56" s="35"/>
      <c r="AI56" s="35"/>
      <c r="AJ56" s="35"/>
      <c r="AK56" s="35"/>
      <c r="AL56" s="35"/>
      <c r="AM56" s="35"/>
      <c r="AN56" s="35"/>
      <c r="AO56" s="35"/>
      <c r="AP56" s="35"/>
      <c r="AQ56" s="35"/>
      <c r="AR56" s="35"/>
      <c r="AS56" s="31"/>
      <c r="AT56" s="31"/>
      <c r="AU56" s="31" t="e">
        <f>AU55-AU33</f>
        <v>#VALUE!</v>
      </c>
      <c r="AV56" s="31"/>
    </row>
    <row r="57" spans="2:48">
      <c r="B57" s="83" t="s">
        <v>166</v>
      </c>
      <c r="C57" s="84"/>
      <c r="D57" s="84"/>
      <c r="E57" s="84"/>
      <c r="F57" s="85"/>
      <c r="G57" s="26"/>
      <c r="H57" s="26"/>
      <c r="I57" s="26"/>
      <c r="J57" s="26"/>
      <c r="K57" s="26"/>
      <c r="L57" s="26"/>
      <c r="M57" s="26"/>
      <c r="N57" s="26"/>
      <c r="O57" s="26"/>
      <c r="P57" s="26"/>
      <c r="Q57" s="26"/>
      <c r="R57" s="26"/>
      <c r="S57" s="26"/>
      <c r="T57" s="26"/>
      <c r="U57" s="26"/>
      <c r="V57" s="26"/>
      <c r="W57" s="26"/>
      <c r="X57" s="26"/>
      <c r="Y57" s="26"/>
      <c r="Z57" s="26"/>
      <c r="AA57" s="26"/>
      <c r="AB57" s="26"/>
      <c r="AC57" s="26"/>
      <c r="AD57" s="26"/>
      <c r="AE57" s="26"/>
      <c r="AF57" s="26"/>
      <c r="AG57" s="26"/>
      <c r="AH57" s="26"/>
      <c r="AI57" s="26"/>
      <c r="AJ57" s="26"/>
      <c r="AK57" s="26"/>
      <c r="AL57" s="26"/>
      <c r="AM57" s="26"/>
      <c r="AN57" s="26"/>
      <c r="AO57" s="26"/>
      <c r="AP57" s="26"/>
      <c r="AQ57" s="26"/>
      <c r="AR57" s="26"/>
      <c r="AS57" s="26"/>
      <c r="AT57" s="26"/>
      <c r="AU57" s="26"/>
      <c r="AV57" s="26"/>
    </row>
    <row r="58" spans="2:48">
      <c r="B58" s="21"/>
      <c r="C58" s="62" t="s">
        <v>156</v>
      </c>
      <c r="D58" s="62" t="s">
        <v>157</v>
      </c>
      <c r="E58" s="62"/>
      <c r="F58" s="62"/>
      <c r="G58" s="24"/>
      <c r="H58" s="24"/>
      <c r="I58" s="24"/>
      <c r="J58" s="24"/>
      <c r="K58" s="24"/>
      <c r="L58" s="24"/>
      <c r="M58" s="24"/>
      <c r="N58" s="24"/>
      <c r="O58" s="24"/>
      <c r="P58" s="24"/>
      <c r="Q58" s="24"/>
      <c r="R58" s="24"/>
      <c r="S58" s="24"/>
      <c r="T58" s="24"/>
      <c r="U58" s="24"/>
      <c r="V58" s="24"/>
      <c r="W58" s="24"/>
      <c r="X58" s="24"/>
      <c r="Y58" s="24"/>
      <c r="Z58" s="24"/>
      <c r="AA58" s="24"/>
      <c r="AB58" s="24"/>
      <c r="AC58" s="24"/>
      <c r="AD58" s="24"/>
      <c r="AE58" s="24"/>
      <c r="AF58" s="24"/>
      <c r="AG58" s="24"/>
      <c r="AH58" s="24"/>
      <c r="AI58" s="24"/>
      <c r="AJ58" s="24"/>
      <c r="AK58" s="24"/>
      <c r="AL58" s="24"/>
      <c r="AM58" s="24"/>
      <c r="AN58" s="24"/>
      <c r="AO58" s="24"/>
      <c r="AP58" s="24"/>
      <c r="AQ58" s="24"/>
      <c r="AR58" s="24"/>
      <c r="AS58" s="24"/>
      <c r="AT58" s="24"/>
      <c r="AU58" s="24"/>
      <c r="AV58" s="24"/>
    </row>
    <row r="59" spans="2:48">
      <c r="B59" s="21"/>
      <c r="C59" s="62" t="str">
        <f>[1]!HsDescription(conn,"Entity#"&amp;C58)</f>
        <v>#NEED_REFRESH</v>
      </c>
      <c r="D59" s="62" t="str">
        <f>[1]!HsDescription(conn,"Entity#"&amp;D58)</f>
        <v>#NEED_REFRESH</v>
      </c>
      <c r="E59" s="62" t="s">
        <v>50</v>
      </c>
      <c r="F59" s="62" t="s">
        <v>50</v>
      </c>
      <c r="G59" s="24"/>
      <c r="H59" s="24"/>
      <c r="I59" s="24"/>
      <c r="J59" s="24"/>
      <c r="K59" s="24"/>
      <c r="L59" s="24"/>
      <c r="M59" s="24"/>
      <c r="N59" s="24"/>
      <c r="O59" s="24"/>
      <c r="P59" s="24"/>
      <c r="Q59" s="24"/>
      <c r="R59" s="24"/>
      <c r="S59" s="24"/>
      <c r="T59" s="24"/>
      <c r="U59" s="24"/>
      <c r="V59" s="24"/>
      <c r="W59" s="24"/>
      <c r="X59" s="24"/>
      <c r="Y59" s="24"/>
      <c r="Z59" s="24"/>
      <c r="AA59" s="24"/>
      <c r="AB59" s="24"/>
      <c r="AC59" s="24"/>
      <c r="AD59" s="24"/>
      <c r="AE59" s="24"/>
      <c r="AF59" s="24"/>
      <c r="AG59" s="24"/>
      <c r="AH59" s="24"/>
      <c r="AI59" s="24"/>
      <c r="AJ59" s="24"/>
      <c r="AK59" s="24"/>
      <c r="AL59" s="24"/>
      <c r="AM59" s="24"/>
      <c r="AN59" s="24"/>
      <c r="AO59" s="24"/>
      <c r="AP59" s="24"/>
      <c r="AQ59" s="24"/>
      <c r="AR59" s="24"/>
      <c r="AS59" s="24"/>
      <c r="AT59" s="24"/>
      <c r="AU59" s="24"/>
      <c r="AV59" s="24"/>
    </row>
    <row r="60" spans="2:48">
      <c r="B60" s="21"/>
      <c r="C60" s="62" t="s">
        <v>75</v>
      </c>
      <c r="D60" s="62" t="s">
        <v>81</v>
      </c>
      <c r="E60" s="62" t="s">
        <v>75</v>
      </c>
      <c r="F60" s="62" t="s">
        <v>89</v>
      </c>
      <c r="G60" s="24"/>
      <c r="H60" s="24"/>
      <c r="I60" s="24"/>
      <c r="J60" s="24"/>
      <c r="K60" s="24"/>
      <c r="L60" s="24"/>
      <c r="M60" s="24"/>
      <c r="N60" s="24"/>
      <c r="O60" s="24"/>
      <c r="P60" s="24"/>
      <c r="Q60" s="24"/>
      <c r="R60" s="24"/>
      <c r="S60" s="24"/>
      <c r="T60" s="24"/>
      <c r="U60" s="24"/>
      <c r="V60" s="24"/>
      <c r="W60" s="24"/>
      <c r="X60" s="24"/>
      <c r="Y60" s="24"/>
      <c r="Z60" s="24"/>
      <c r="AA60" s="24"/>
      <c r="AB60" s="24"/>
      <c r="AC60" s="24"/>
      <c r="AD60" s="24"/>
      <c r="AE60" s="24"/>
      <c r="AF60" s="24"/>
      <c r="AG60" s="24"/>
      <c r="AH60" s="24"/>
      <c r="AI60" s="24"/>
      <c r="AJ60" s="24"/>
      <c r="AK60" s="24"/>
      <c r="AL60" s="24"/>
      <c r="AM60" s="24"/>
      <c r="AN60" s="24"/>
      <c r="AO60" s="24"/>
      <c r="AP60" s="24"/>
      <c r="AQ60" s="24"/>
      <c r="AR60" s="24"/>
      <c r="AS60" s="24"/>
      <c r="AT60" s="24"/>
      <c r="AU60" s="24"/>
      <c r="AV60" s="24"/>
    </row>
    <row r="61" spans="2:48">
      <c r="B61" s="68" t="s">
        <v>79</v>
      </c>
      <c r="C61" s="69"/>
      <c r="D61" s="69"/>
      <c r="E61" s="69"/>
      <c r="F61" s="69"/>
      <c r="G61" s="70"/>
      <c r="H61" s="24"/>
      <c r="I61" s="24"/>
      <c r="J61" s="24"/>
      <c r="K61" s="24"/>
      <c r="L61" s="24"/>
      <c r="M61" s="24"/>
      <c r="N61" s="24"/>
      <c r="O61" s="24"/>
      <c r="P61" s="24"/>
      <c r="Q61" s="24"/>
      <c r="R61" s="24"/>
      <c r="S61" s="24"/>
      <c r="T61" s="24"/>
      <c r="U61" s="24"/>
      <c r="V61" s="24"/>
      <c r="W61" s="24"/>
      <c r="X61" s="24"/>
      <c r="Y61" s="24"/>
      <c r="Z61" s="24"/>
      <c r="AA61" s="24"/>
      <c r="AB61" s="24"/>
      <c r="AC61" s="24"/>
      <c r="AD61" s="24"/>
      <c r="AE61" s="24"/>
      <c r="AF61" s="24"/>
      <c r="AG61" s="24"/>
      <c r="AH61" s="24"/>
      <c r="AI61" s="24"/>
      <c r="AJ61" s="24"/>
      <c r="AK61" s="24"/>
      <c r="AL61" s="24"/>
      <c r="AM61" s="24"/>
      <c r="AN61" s="24"/>
      <c r="AO61" s="24"/>
      <c r="AP61" s="24"/>
      <c r="AQ61" s="24"/>
      <c r="AR61" s="24"/>
      <c r="AS61" s="24"/>
      <c r="AT61" s="24"/>
      <c r="AU61" s="24"/>
      <c r="AV61" s="24"/>
    </row>
    <row r="62" spans="2:48">
      <c r="B62" s="21" t="s">
        <v>75</v>
      </c>
      <c r="C62" s="35">
        <f>SUMIFS(AP_Aging!$Q:$Q,AP_Aging!$C:$C,AP_Breakdown!C$1,AP_Aging!$J:$J,AP_Breakdown!$B62)</f>
        <v>0</v>
      </c>
      <c r="D62" s="35">
        <f>SUMIFS(AP_Aging!$Q:$Q,AP_Aging!$C:$C,AP_Breakdown!D$1,AP_Aging!$J:$J,AP_Breakdown!$B62)</f>
        <v>0</v>
      </c>
      <c r="E62" s="35" t="e">
        <f>C62+D62*D$26</f>
        <v>#VALUE!</v>
      </c>
      <c r="F62" s="35" t="e">
        <f>ROUND(E62/1000,)</f>
        <v>#VALUE!</v>
      </c>
      <c r="G62" s="24"/>
      <c r="H62" s="24"/>
      <c r="I62" s="24"/>
      <c r="J62" s="24"/>
      <c r="K62" s="24"/>
      <c r="L62" s="24"/>
      <c r="M62" s="24"/>
      <c r="N62" s="24"/>
      <c r="O62" s="24"/>
      <c r="P62" s="24"/>
      <c r="Q62" s="24"/>
      <c r="R62" s="24"/>
      <c r="S62" s="24"/>
      <c r="T62" s="24"/>
      <c r="U62" s="24"/>
      <c r="V62" s="24"/>
      <c r="W62" s="24"/>
      <c r="X62" s="24"/>
      <c r="Y62" s="24"/>
      <c r="Z62" s="24"/>
      <c r="AA62" s="24"/>
      <c r="AB62" s="24"/>
      <c r="AC62" s="24"/>
      <c r="AD62" s="24"/>
      <c r="AE62" s="24"/>
      <c r="AF62" s="24"/>
      <c r="AG62" s="24"/>
      <c r="AH62" s="24"/>
      <c r="AI62" s="24"/>
      <c r="AJ62" s="24"/>
      <c r="AK62" s="24"/>
      <c r="AL62" s="24"/>
      <c r="AM62" s="24"/>
      <c r="AN62" s="24"/>
      <c r="AO62" s="24"/>
      <c r="AP62" s="24"/>
      <c r="AQ62" s="24"/>
      <c r="AR62" s="24"/>
      <c r="AS62" s="24"/>
      <c r="AT62" s="24"/>
      <c r="AU62" s="24"/>
      <c r="AV62" s="24"/>
    </row>
    <row r="63" spans="2:48">
      <c r="B63" s="21" t="s">
        <v>81</v>
      </c>
      <c r="C63" s="35">
        <f>SUMIFS(AP_Aging!$Q:$Q,AP_Aging!$C:$C,AP_Breakdown!C$1,AP_Aging!$J:$J,AP_Breakdown!$B63)</f>
        <v>0</v>
      </c>
      <c r="D63" s="35">
        <f>SUMIFS(AP_Aging!$Q:$Q,AP_Aging!$C:$C,AP_Breakdown!D$1,AP_Aging!$J:$J,AP_Breakdown!$B63)</f>
        <v>0</v>
      </c>
      <c r="E63" s="35" t="e">
        <f t="shared" ref="E63:E65" si="17">C63+D63*D$26</f>
        <v>#VALUE!</v>
      </c>
      <c r="F63" s="35" t="e">
        <f t="shared" ref="F63:F65" si="18">ROUND(E63/1000,)</f>
        <v>#VALUE!</v>
      </c>
      <c r="G63" s="24"/>
      <c r="H63" s="24"/>
      <c r="I63" s="24"/>
      <c r="J63" s="24"/>
      <c r="K63" s="24"/>
      <c r="L63" s="24"/>
      <c r="M63" s="24"/>
      <c r="N63" s="24"/>
      <c r="O63" s="24"/>
      <c r="P63" s="24"/>
      <c r="Q63" s="24"/>
      <c r="R63" s="24"/>
      <c r="S63" s="24"/>
      <c r="T63" s="24"/>
      <c r="U63" s="24"/>
      <c r="V63" s="24"/>
      <c r="W63" s="24"/>
      <c r="X63" s="24"/>
      <c r="Y63" s="24"/>
      <c r="Z63" s="24"/>
      <c r="AA63" s="24"/>
      <c r="AB63" s="24"/>
      <c r="AC63" s="24"/>
      <c r="AD63" s="24"/>
      <c r="AE63" s="24"/>
      <c r="AF63" s="24"/>
      <c r="AG63" s="24"/>
      <c r="AH63" s="24"/>
      <c r="AI63" s="24"/>
      <c r="AJ63" s="24"/>
      <c r="AK63" s="24"/>
      <c r="AL63" s="24"/>
      <c r="AM63" s="24"/>
      <c r="AN63" s="24"/>
      <c r="AO63" s="24"/>
      <c r="AP63" s="24"/>
      <c r="AQ63" s="24"/>
      <c r="AR63" s="24"/>
      <c r="AS63" s="24"/>
      <c r="AT63" s="24"/>
      <c r="AU63" s="24"/>
      <c r="AV63" s="24"/>
    </row>
    <row r="64" spans="2:48">
      <c r="B64" s="21" t="s">
        <v>82</v>
      </c>
      <c r="C64" s="36">
        <f t="shared" ref="C64:D64" si="19">C65-C62-C63</f>
        <v>0</v>
      </c>
      <c r="D64" s="36">
        <f t="shared" si="19"/>
        <v>0</v>
      </c>
      <c r="E64" s="35" t="e">
        <f t="shared" si="17"/>
        <v>#VALUE!</v>
      </c>
      <c r="F64" s="35" t="e">
        <f t="shared" si="18"/>
        <v>#VALUE!</v>
      </c>
      <c r="G64" s="24"/>
      <c r="H64" s="24"/>
      <c r="I64" s="24"/>
      <c r="J64" s="24"/>
      <c r="K64" s="24"/>
      <c r="L64" s="24"/>
      <c r="M64" s="24"/>
      <c r="N64" s="24"/>
      <c r="O64" s="24"/>
      <c r="P64" s="24"/>
      <c r="Q64" s="24"/>
      <c r="R64" s="24"/>
      <c r="S64" s="24"/>
      <c r="T64" s="24"/>
      <c r="U64" s="24"/>
      <c r="V64" s="24"/>
      <c r="W64" s="24"/>
      <c r="X64" s="24"/>
      <c r="Y64" s="24"/>
      <c r="Z64" s="24"/>
      <c r="AA64" s="24"/>
      <c r="AB64" s="24"/>
      <c r="AC64" s="24"/>
      <c r="AD64" s="24"/>
      <c r="AE64" s="24"/>
      <c r="AF64" s="24"/>
      <c r="AG64" s="24"/>
      <c r="AH64" s="24"/>
      <c r="AI64" s="24"/>
      <c r="AJ64" s="24"/>
      <c r="AK64" s="24"/>
      <c r="AL64" s="24"/>
      <c r="AM64" s="24"/>
      <c r="AN64" s="24"/>
      <c r="AO64" s="24"/>
      <c r="AP64" s="24"/>
      <c r="AQ64" s="24"/>
      <c r="AR64" s="24"/>
      <c r="AS64" s="24"/>
      <c r="AT64" s="24"/>
      <c r="AU64" s="24"/>
      <c r="AV64" s="24"/>
    </row>
    <row r="65" spans="1:48">
      <c r="B65" s="21" t="s">
        <v>50</v>
      </c>
      <c r="C65" s="35">
        <f>SUMIFS(AP_Aging!$Q:$Q,AP_Aging!$C:$C,AP_Breakdown!C$1)</f>
        <v>0</v>
      </c>
      <c r="D65" s="35">
        <f>SUMIFS(AP_Aging!$Q:$Q,AP_Aging!$C:$C,AP_Breakdown!D$1)</f>
        <v>0</v>
      </c>
      <c r="E65" s="35" t="e">
        <f t="shared" si="17"/>
        <v>#VALUE!</v>
      </c>
      <c r="F65" s="35" t="e">
        <f t="shared" si="18"/>
        <v>#VALUE!</v>
      </c>
      <c r="G65" s="24"/>
      <c r="H65" s="24"/>
      <c r="I65" s="24"/>
      <c r="J65" s="24"/>
      <c r="K65" s="24"/>
      <c r="L65" s="24"/>
      <c r="M65" s="24"/>
      <c r="N65" s="24"/>
      <c r="O65" s="24"/>
      <c r="P65" s="24"/>
      <c r="Q65" s="24"/>
      <c r="R65" s="24"/>
      <c r="S65" s="24"/>
      <c r="T65" s="24"/>
      <c r="U65" s="24"/>
      <c r="V65" s="24"/>
      <c r="W65" s="24"/>
      <c r="X65" s="24"/>
      <c r="Y65" s="24"/>
      <c r="Z65" s="24"/>
      <c r="AA65" s="24"/>
      <c r="AB65" s="24"/>
      <c r="AC65" s="24"/>
      <c r="AD65" s="24"/>
      <c r="AE65" s="24"/>
      <c r="AF65" s="24"/>
      <c r="AG65" s="24"/>
      <c r="AH65" s="24"/>
      <c r="AI65" s="24"/>
      <c r="AJ65" s="24"/>
      <c r="AK65" s="24"/>
      <c r="AL65" s="24"/>
      <c r="AM65" s="24"/>
      <c r="AN65" s="24"/>
      <c r="AO65" s="24"/>
      <c r="AP65" s="24"/>
      <c r="AQ65" s="24"/>
      <c r="AR65" s="24"/>
      <c r="AS65" s="24"/>
      <c r="AT65" s="24"/>
      <c r="AU65" s="24"/>
      <c r="AV65" s="24"/>
    </row>
    <row r="66" spans="1:48">
      <c r="B66" s="21" t="s">
        <v>155</v>
      </c>
      <c r="C66" s="35">
        <f>C9-C65</f>
        <v>0</v>
      </c>
      <c r="D66" s="35">
        <f>D9-D65</f>
        <v>0</v>
      </c>
      <c r="E66" s="33"/>
      <c r="F66" s="33"/>
      <c r="G66" s="24"/>
      <c r="H66" s="24"/>
      <c r="I66" s="24"/>
      <c r="J66" s="24"/>
      <c r="K66" s="24"/>
      <c r="L66" s="24"/>
      <c r="M66" s="24"/>
      <c r="N66" s="24"/>
      <c r="O66" s="24"/>
      <c r="P66" s="24"/>
      <c r="Q66" s="24"/>
      <c r="R66" s="24"/>
      <c r="S66" s="24"/>
      <c r="T66" s="24"/>
      <c r="U66" s="24"/>
      <c r="V66" s="24"/>
      <c r="W66" s="24"/>
      <c r="X66" s="24"/>
      <c r="Y66" s="24"/>
      <c r="Z66" s="24"/>
      <c r="AA66" s="24"/>
      <c r="AB66" s="24"/>
      <c r="AC66" s="24"/>
      <c r="AD66" s="24"/>
      <c r="AE66" s="24"/>
      <c r="AF66" s="24"/>
      <c r="AG66" s="24"/>
      <c r="AH66" s="24"/>
      <c r="AI66" s="24"/>
      <c r="AJ66" s="24"/>
      <c r="AK66" s="24"/>
      <c r="AL66" s="24"/>
      <c r="AM66" s="24"/>
      <c r="AN66" s="24"/>
      <c r="AO66" s="24"/>
      <c r="AP66" s="24"/>
      <c r="AQ66" s="24"/>
      <c r="AR66" s="24"/>
      <c r="AS66" s="24"/>
      <c r="AT66" s="24"/>
      <c r="AU66" s="24"/>
      <c r="AV66" s="24"/>
    </row>
    <row r="67" spans="1:48">
      <c r="B67" s="68" t="s">
        <v>83</v>
      </c>
      <c r="C67" s="69"/>
      <c r="D67" s="69"/>
      <c r="E67" s="69"/>
      <c r="F67" s="69"/>
      <c r="G67" s="70"/>
      <c r="H67" s="24"/>
      <c r="I67" s="24"/>
      <c r="J67" s="24"/>
      <c r="K67" s="24"/>
      <c r="L67" s="24"/>
      <c r="M67" s="24"/>
      <c r="N67" s="24"/>
      <c r="O67" s="24"/>
      <c r="P67" s="24"/>
      <c r="Q67" s="24"/>
      <c r="R67" s="24"/>
      <c r="S67" s="24"/>
      <c r="T67" s="24"/>
      <c r="U67" s="24"/>
      <c r="V67" s="24"/>
      <c r="W67" s="24"/>
      <c r="X67" s="24"/>
      <c r="Y67" s="24"/>
      <c r="Z67" s="24"/>
      <c r="AA67" s="24"/>
      <c r="AB67" s="24"/>
      <c r="AC67" s="24"/>
      <c r="AD67" s="24"/>
      <c r="AE67" s="24"/>
      <c r="AF67" s="24"/>
      <c r="AG67" s="24"/>
      <c r="AH67" s="24"/>
      <c r="AI67" s="24"/>
      <c r="AJ67" s="24"/>
      <c r="AK67" s="24"/>
      <c r="AL67" s="24"/>
      <c r="AM67" s="24"/>
      <c r="AN67" s="24"/>
      <c r="AO67" s="24"/>
      <c r="AP67" s="24"/>
      <c r="AQ67" s="24"/>
      <c r="AR67" s="24"/>
      <c r="AS67" s="24"/>
      <c r="AT67" s="24"/>
      <c r="AU67" s="24"/>
      <c r="AV67" s="24"/>
    </row>
    <row r="68" spans="1:48">
      <c r="B68" s="21" t="s">
        <v>84</v>
      </c>
      <c r="C68" s="35">
        <f>SUMIFS(AP_Aging!$R:$R,AP_Aging!$C:$C,AP_Breakdown!C$1)</f>
        <v>0</v>
      </c>
      <c r="D68" s="35">
        <f>SUMIFS(AP_Aging!$R:$R,AP_Aging!$C:$C,AP_Breakdown!D$1)</f>
        <v>0</v>
      </c>
      <c r="E68" s="35" t="e">
        <f t="shared" ref="E68:E75" si="20">C68+D68*D$26</f>
        <v>#VALUE!</v>
      </c>
      <c r="F68" s="35" t="e">
        <f t="shared" ref="F68:F75" si="21">ROUND(E68/1000,)</f>
        <v>#VALUE!</v>
      </c>
      <c r="G68" s="24"/>
      <c r="H68" s="24"/>
      <c r="I68" s="24"/>
      <c r="J68" s="24"/>
      <c r="K68" s="24"/>
      <c r="L68" s="24"/>
      <c r="M68" s="24"/>
      <c r="N68" s="24"/>
      <c r="O68" s="24"/>
      <c r="P68" s="24"/>
      <c r="Q68" s="24"/>
      <c r="R68" s="24"/>
      <c r="S68" s="24"/>
      <c r="T68" s="24"/>
      <c r="U68" s="24"/>
      <c r="V68" s="24"/>
      <c r="W68" s="24"/>
      <c r="X68" s="24"/>
      <c r="Y68" s="24"/>
      <c r="Z68" s="24"/>
      <c r="AA68" s="24"/>
      <c r="AB68" s="24"/>
      <c r="AC68" s="24"/>
      <c r="AD68" s="24"/>
      <c r="AE68" s="24"/>
      <c r="AF68" s="24"/>
      <c r="AG68" s="24"/>
      <c r="AH68" s="24"/>
      <c r="AI68" s="24"/>
      <c r="AJ68" s="24"/>
      <c r="AK68" s="24"/>
      <c r="AL68" s="24"/>
      <c r="AM68" s="24"/>
      <c r="AN68" s="24"/>
      <c r="AO68" s="24"/>
      <c r="AP68" s="24"/>
      <c r="AQ68" s="24"/>
      <c r="AR68" s="24"/>
      <c r="AS68" s="24"/>
      <c r="AT68" s="24"/>
      <c r="AU68" s="24"/>
      <c r="AV68" s="24"/>
    </row>
    <row r="69" spans="1:48">
      <c r="B69" s="21" t="s">
        <v>85</v>
      </c>
      <c r="C69" s="35">
        <f>SUMIFS(AP_Aging!$S:$S,AP_Aging!$C:$C,AP_Breakdown!C$1)</f>
        <v>0</v>
      </c>
      <c r="D69" s="35">
        <f>SUMIFS(AP_Aging!$S:$S,AP_Aging!$C:$C,AP_Breakdown!D$1)</f>
        <v>0</v>
      </c>
      <c r="E69" s="35" t="e">
        <f t="shared" si="20"/>
        <v>#VALUE!</v>
      </c>
      <c r="F69" s="35" t="e">
        <f t="shared" si="21"/>
        <v>#VALUE!</v>
      </c>
      <c r="G69" s="24"/>
      <c r="H69" s="24"/>
      <c r="I69" s="24"/>
      <c r="J69" s="24"/>
      <c r="K69" s="24"/>
      <c r="L69" s="24"/>
      <c r="M69" s="24"/>
      <c r="N69" s="24"/>
      <c r="O69" s="24"/>
      <c r="P69" s="24"/>
      <c r="Q69" s="24"/>
      <c r="R69" s="24"/>
      <c r="S69" s="24"/>
      <c r="T69" s="24"/>
      <c r="U69" s="24"/>
      <c r="V69" s="24"/>
      <c r="W69" s="24"/>
      <c r="X69" s="24"/>
      <c r="Y69" s="24"/>
      <c r="Z69" s="24"/>
      <c r="AA69" s="24"/>
      <c r="AB69" s="24"/>
      <c r="AC69" s="24"/>
      <c r="AD69" s="24"/>
      <c r="AE69" s="24"/>
      <c r="AF69" s="24"/>
      <c r="AG69" s="24"/>
      <c r="AH69" s="24"/>
      <c r="AI69" s="24"/>
      <c r="AJ69" s="24"/>
      <c r="AK69" s="24"/>
      <c r="AL69" s="24"/>
      <c r="AM69" s="24"/>
      <c r="AN69" s="24"/>
      <c r="AO69" s="24"/>
      <c r="AP69" s="24"/>
      <c r="AQ69" s="24"/>
      <c r="AR69" s="24"/>
      <c r="AS69" s="24"/>
      <c r="AT69" s="24"/>
      <c r="AU69" s="24"/>
      <c r="AV69" s="24"/>
    </row>
    <row r="70" spans="1:48">
      <c r="B70" s="21" t="s">
        <v>86</v>
      </c>
      <c r="C70" s="35">
        <f>SUMIFS(AP_Aging!$T:$T,AP_Aging!$C:$C,AP_Breakdown!C$1)</f>
        <v>0</v>
      </c>
      <c r="D70" s="35">
        <f>SUMIFS(AP_Aging!$T:$T,AP_Aging!$C:$C,AP_Breakdown!D$1)</f>
        <v>0</v>
      </c>
      <c r="E70" s="35" t="e">
        <f t="shared" si="20"/>
        <v>#VALUE!</v>
      </c>
      <c r="F70" s="35" t="e">
        <f t="shared" si="21"/>
        <v>#VALUE!</v>
      </c>
      <c r="G70" s="24"/>
      <c r="H70" s="24"/>
      <c r="I70" s="24"/>
      <c r="J70" s="24"/>
      <c r="K70" s="24"/>
      <c r="L70" s="24"/>
      <c r="M70" s="24"/>
      <c r="N70" s="24"/>
      <c r="O70" s="24"/>
      <c r="P70" s="24"/>
      <c r="Q70" s="24"/>
      <c r="R70" s="24"/>
      <c r="S70" s="24"/>
      <c r="T70" s="24"/>
      <c r="U70" s="24"/>
      <c r="V70" s="24"/>
      <c r="W70" s="24"/>
      <c r="X70" s="24"/>
      <c r="Y70" s="24"/>
      <c r="Z70" s="24"/>
      <c r="AA70" s="24"/>
      <c r="AB70" s="24"/>
      <c r="AC70" s="24"/>
      <c r="AD70" s="24"/>
      <c r="AE70" s="24"/>
      <c r="AF70" s="24"/>
      <c r="AG70" s="24"/>
      <c r="AH70" s="24"/>
      <c r="AI70" s="24"/>
      <c r="AJ70" s="24"/>
      <c r="AK70" s="24"/>
      <c r="AL70" s="24"/>
      <c r="AM70" s="24"/>
      <c r="AN70" s="24"/>
      <c r="AO70" s="24"/>
      <c r="AP70" s="24"/>
      <c r="AQ70" s="24"/>
      <c r="AR70" s="24"/>
      <c r="AS70" s="24"/>
      <c r="AT70" s="24"/>
      <c r="AU70" s="24"/>
      <c r="AV70" s="24"/>
    </row>
    <row r="71" spans="1:48">
      <c r="B71" s="21" t="s">
        <v>87</v>
      </c>
      <c r="C71" s="35">
        <f>SUMIFS(AP_Aging!$U:$U,AP_Aging!$C:$C,AP_Breakdown!C$1)</f>
        <v>0</v>
      </c>
      <c r="D71" s="35">
        <f>SUMIFS(AP_Aging!$U:$U,AP_Aging!$C:$C,AP_Breakdown!D$1)</f>
        <v>0</v>
      </c>
      <c r="E71" s="35" t="e">
        <f t="shared" si="20"/>
        <v>#VALUE!</v>
      </c>
      <c r="F71" s="35" t="e">
        <f t="shared" si="21"/>
        <v>#VALUE!</v>
      </c>
      <c r="G71" s="24"/>
      <c r="H71" s="24"/>
      <c r="I71" s="24"/>
      <c r="J71" s="24"/>
      <c r="K71" s="24"/>
      <c r="L71" s="24"/>
      <c r="M71" s="24"/>
      <c r="N71" s="24"/>
      <c r="O71" s="24"/>
      <c r="P71" s="24"/>
      <c r="Q71" s="24"/>
      <c r="R71" s="24"/>
      <c r="S71" s="24"/>
      <c r="T71" s="24"/>
      <c r="U71" s="24"/>
      <c r="V71" s="24"/>
      <c r="W71" s="24"/>
      <c r="X71" s="24"/>
      <c r="Y71" s="24"/>
      <c r="Z71" s="24"/>
      <c r="AA71" s="24"/>
      <c r="AB71" s="24"/>
      <c r="AC71" s="24"/>
      <c r="AD71" s="24"/>
      <c r="AE71" s="24"/>
      <c r="AF71" s="24"/>
      <c r="AG71" s="24"/>
      <c r="AH71" s="24"/>
      <c r="AI71" s="24"/>
      <c r="AJ71" s="24"/>
      <c r="AK71" s="24"/>
      <c r="AL71" s="24"/>
      <c r="AM71" s="24"/>
      <c r="AN71" s="24"/>
      <c r="AO71" s="24"/>
      <c r="AP71" s="24"/>
      <c r="AQ71" s="24"/>
      <c r="AR71" s="24"/>
      <c r="AS71" s="24"/>
      <c r="AT71" s="24"/>
      <c r="AU71" s="24"/>
      <c r="AV71" s="24"/>
    </row>
    <row r="72" spans="1:48">
      <c r="B72" s="21" t="s">
        <v>106</v>
      </c>
      <c r="C72" s="35">
        <f>SUMIFS(AP_Aging!$V:$V,AP_Aging!$C:$C,AP_Breakdown!C$1)</f>
        <v>0</v>
      </c>
      <c r="D72" s="35">
        <f>SUMIFS(AP_Aging!$V:$V,AP_Aging!$C:$C,AP_Breakdown!D$1)</f>
        <v>0</v>
      </c>
      <c r="E72" s="35" t="e">
        <f t="shared" si="20"/>
        <v>#VALUE!</v>
      </c>
      <c r="F72" s="35" t="e">
        <f t="shared" si="21"/>
        <v>#VALUE!</v>
      </c>
      <c r="G72" s="24"/>
      <c r="H72" s="24"/>
      <c r="I72" s="24"/>
      <c r="J72" s="24"/>
      <c r="K72" s="24"/>
      <c r="L72" s="24"/>
      <c r="M72" s="24"/>
      <c r="N72" s="24"/>
      <c r="O72" s="24"/>
      <c r="P72" s="24"/>
      <c r="Q72" s="24"/>
      <c r="R72" s="24"/>
      <c r="S72" s="24"/>
      <c r="T72" s="24"/>
      <c r="U72" s="24"/>
      <c r="V72" s="24"/>
      <c r="W72" s="24"/>
      <c r="X72" s="24"/>
      <c r="Y72" s="24"/>
      <c r="Z72" s="24"/>
      <c r="AA72" s="24"/>
      <c r="AB72" s="24"/>
      <c r="AC72" s="24"/>
      <c r="AD72" s="24"/>
      <c r="AE72" s="24"/>
      <c r="AF72" s="24"/>
      <c r="AG72" s="24"/>
      <c r="AH72" s="24"/>
      <c r="AI72" s="24"/>
      <c r="AJ72" s="24"/>
      <c r="AK72" s="24"/>
      <c r="AL72" s="24"/>
      <c r="AM72" s="24"/>
      <c r="AN72" s="24"/>
      <c r="AO72" s="24"/>
      <c r="AP72" s="24"/>
      <c r="AQ72" s="24"/>
      <c r="AR72" s="24"/>
      <c r="AS72" s="24"/>
      <c r="AT72" s="24"/>
      <c r="AU72" s="24"/>
      <c r="AV72" s="24"/>
    </row>
    <row r="73" spans="1:48">
      <c r="B73" s="21" t="s">
        <v>107</v>
      </c>
      <c r="C73" s="35">
        <f>SUMIFS(AP_Aging!$W:$W,AP_Aging!$C:$C,AP_Breakdown!C$1)</f>
        <v>0</v>
      </c>
      <c r="D73" s="35">
        <f>SUMIFS(AP_Aging!$W:$W,AP_Aging!$C:$C,AP_Breakdown!D$1)</f>
        <v>0</v>
      </c>
      <c r="E73" s="35" t="e">
        <f t="shared" si="20"/>
        <v>#VALUE!</v>
      </c>
      <c r="F73" s="35" t="e">
        <f t="shared" si="21"/>
        <v>#VALUE!</v>
      </c>
      <c r="G73" s="24"/>
      <c r="H73" s="24"/>
      <c r="I73" s="24"/>
      <c r="J73" s="24"/>
      <c r="K73" s="24"/>
      <c r="L73" s="24"/>
      <c r="M73" s="24"/>
      <c r="N73" s="24"/>
      <c r="O73" s="24"/>
      <c r="P73" s="24"/>
      <c r="Q73" s="24"/>
      <c r="R73" s="24"/>
      <c r="S73" s="24"/>
      <c r="T73" s="24"/>
      <c r="U73" s="24"/>
      <c r="V73" s="24"/>
      <c r="W73" s="24"/>
      <c r="X73" s="24"/>
      <c r="Y73" s="24"/>
      <c r="Z73" s="24"/>
      <c r="AA73" s="24"/>
      <c r="AB73" s="24"/>
      <c r="AC73" s="24"/>
      <c r="AD73" s="24"/>
      <c r="AE73" s="24"/>
      <c r="AF73" s="24"/>
      <c r="AG73" s="24"/>
      <c r="AH73" s="24"/>
      <c r="AI73" s="24"/>
      <c r="AJ73" s="24"/>
      <c r="AK73" s="24"/>
      <c r="AL73" s="24"/>
      <c r="AM73" s="24"/>
      <c r="AN73" s="24"/>
      <c r="AO73" s="24"/>
      <c r="AP73" s="24"/>
      <c r="AQ73" s="24"/>
      <c r="AR73" s="24"/>
      <c r="AS73" s="24"/>
      <c r="AT73" s="24"/>
      <c r="AU73" s="24"/>
      <c r="AV73" s="24"/>
    </row>
    <row r="74" spans="1:48">
      <c r="B74" s="21" t="s">
        <v>88</v>
      </c>
      <c r="C74" s="35">
        <f>SUMIFS(AP_Aging!$X:$X,AP_Aging!$C:$C,AP_Breakdown!C$1)</f>
        <v>0</v>
      </c>
      <c r="D74" s="35">
        <f>SUMIFS(AP_Aging!$X:$X,AP_Aging!$C:$C,AP_Breakdown!D$1)</f>
        <v>0</v>
      </c>
      <c r="E74" s="35" t="e">
        <f t="shared" si="20"/>
        <v>#VALUE!</v>
      </c>
      <c r="F74" s="35" t="e">
        <f t="shared" si="21"/>
        <v>#VALUE!</v>
      </c>
      <c r="G74" s="24"/>
      <c r="H74" s="24"/>
      <c r="I74" s="24"/>
      <c r="J74" s="24"/>
      <c r="K74" s="24"/>
      <c r="L74" s="24"/>
      <c r="M74" s="24"/>
      <c r="N74" s="24"/>
      <c r="O74" s="24"/>
      <c r="P74" s="24"/>
      <c r="Q74" s="24"/>
      <c r="R74" s="24"/>
      <c r="S74" s="24"/>
      <c r="T74" s="24"/>
      <c r="U74" s="24"/>
      <c r="V74" s="24"/>
      <c r="W74" s="24"/>
      <c r="X74" s="24"/>
      <c r="Y74" s="24"/>
      <c r="Z74" s="24"/>
      <c r="AA74" s="24"/>
      <c r="AB74" s="24"/>
      <c r="AC74" s="24"/>
      <c r="AD74" s="24"/>
      <c r="AE74" s="24"/>
      <c r="AF74" s="24"/>
      <c r="AG74" s="24"/>
      <c r="AH74" s="24"/>
      <c r="AI74" s="24"/>
      <c r="AJ74" s="24"/>
      <c r="AK74" s="24"/>
      <c r="AL74" s="24"/>
      <c r="AM74" s="24"/>
      <c r="AN74" s="24"/>
      <c r="AO74" s="24"/>
      <c r="AP74" s="24"/>
      <c r="AQ74" s="24"/>
      <c r="AR74" s="24"/>
      <c r="AS74" s="24"/>
      <c r="AT74" s="24"/>
      <c r="AU74" s="24"/>
      <c r="AV74" s="24"/>
    </row>
    <row r="75" spans="1:48">
      <c r="B75" s="21" t="s">
        <v>50</v>
      </c>
      <c r="C75" s="35">
        <f t="shared" ref="C75:D75" si="22">SUM(C68:C74)</f>
        <v>0</v>
      </c>
      <c r="D75" s="35">
        <f t="shared" si="22"/>
        <v>0</v>
      </c>
      <c r="E75" s="35" t="e">
        <f t="shared" si="20"/>
        <v>#VALUE!</v>
      </c>
      <c r="F75" s="35" t="e">
        <f t="shared" si="21"/>
        <v>#VALUE!</v>
      </c>
      <c r="G75" s="24"/>
      <c r="H75" s="24"/>
      <c r="I75" s="24"/>
      <c r="J75" s="24"/>
      <c r="K75" s="24"/>
      <c r="L75" s="24"/>
      <c r="M75" s="24"/>
      <c r="N75" s="24"/>
      <c r="O75" s="24"/>
      <c r="P75" s="24"/>
      <c r="Q75" s="24"/>
      <c r="R75" s="24"/>
      <c r="S75" s="24"/>
      <c r="T75" s="24"/>
      <c r="U75" s="24"/>
      <c r="V75" s="24"/>
      <c r="W75" s="24"/>
      <c r="X75" s="24"/>
      <c r="Y75" s="24"/>
      <c r="Z75" s="24"/>
      <c r="AA75" s="24"/>
      <c r="AB75" s="24"/>
      <c r="AC75" s="24"/>
      <c r="AD75" s="24"/>
      <c r="AE75" s="24"/>
      <c r="AF75" s="24"/>
      <c r="AG75" s="24"/>
      <c r="AH75" s="24"/>
      <c r="AI75" s="24"/>
      <c r="AJ75" s="24"/>
      <c r="AK75" s="24"/>
      <c r="AL75" s="24"/>
      <c r="AM75" s="24"/>
      <c r="AN75" s="24"/>
      <c r="AO75" s="24"/>
      <c r="AP75" s="24"/>
      <c r="AQ75" s="24"/>
      <c r="AR75" s="24"/>
      <c r="AS75" s="24"/>
      <c r="AT75" s="24"/>
      <c r="AU75" s="24"/>
      <c r="AV75" s="24"/>
    </row>
    <row r="76" spans="1:48">
      <c r="B76" s="21" t="s">
        <v>155</v>
      </c>
      <c r="C76" s="35">
        <f>C4-C75</f>
        <v>0</v>
      </c>
      <c r="D76" s="35">
        <f t="shared" ref="D76" si="23">D4-D75</f>
        <v>0</v>
      </c>
      <c r="E76" s="33"/>
      <c r="F76" s="33"/>
      <c r="G76" s="24"/>
      <c r="H76" s="24"/>
      <c r="I76" s="24"/>
      <c r="J76" s="24"/>
      <c r="K76" s="24"/>
      <c r="L76" s="24"/>
      <c r="M76" s="24"/>
      <c r="N76" s="24"/>
      <c r="O76" s="24"/>
      <c r="P76" s="24"/>
      <c r="Q76" s="24"/>
      <c r="R76" s="24"/>
      <c r="S76" s="24"/>
      <c r="T76" s="24"/>
      <c r="U76" s="24"/>
      <c r="V76" s="24"/>
      <c r="W76" s="24"/>
      <c r="X76" s="24"/>
      <c r="Y76" s="24"/>
      <c r="Z76" s="24"/>
      <c r="AA76" s="24"/>
      <c r="AB76" s="24"/>
      <c r="AC76" s="24"/>
      <c r="AD76" s="24"/>
      <c r="AE76" s="24"/>
      <c r="AF76" s="24"/>
      <c r="AG76" s="24"/>
      <c r="AH76" s="24"/>
      <c r="AI76" s="24"/>
      <c r="AJ76" s="24"/>
      <c r="AK76" s="24"/>
      <c r="AL76" s="24"/>
      <c r="AM76" s="24"/>
      <c r="AN76" s="24"/>
      <c r="AO76" s="24"/>
      <c r="AP76" s="24"/>
      <c r="AQ76" s="24"/>
      <c r="AR76" s="24"/>
      <c r="AS76" s="24"/>
      <c r="AT76" s="24"/>
      <c r="AU76" s="24"/>
      <c r="AV76" s="24"/>
    </row>
    <row r="77" spans="1:48">
      <c r="B77" s="68" t="s">
        <v>90</v>
      </c>
      <c r="C77" s="69"/>
      <c r="D77" s="69"/>
      <c r="E77" s="69"/>
      <c r="F77" s="69"/>
      <c r="G77" s="70"/>
      <c r="H77" s="24"/>
      <c r="I77" s="24"/>
      <c r="J77" s="24"/>
      <c r="K77" s="24"/>
      <c r="L77" s="24"/>
      <c r="M77" s="24"/>
      <c r="N77" s="24"/>
      <c r="O77" s="24"/>
      <c r="P77" s="24"/>
      <c r="Q77" s="24"/>
      <c r="R77" s="24"/>
      <c r="S77" s="24"/>
      <c r="T77" s="24"/>
      <c r="U77" s="24"/>
      <c r="V77" s="24"/>
      <c r="W77" s="24"/>
      <c r="X77" s="24"/>
      <c r="Y77" s="24"/>
      <c r="Z77" s="24"/>
      <c r="AA77" s="24"/>
      <c r="AB77" s="24"/>
      <c r="AC77" s="24"/>
      <c r="AD77" s="24"/>
      <c r="AE77" s="24"/>
      <c r="AF77" s="24"/>
      <c r="AG77" s="24"/>
      <c r="AH77" s="24"/>
      <c r="AI77" s="24"/>
      <c r="AJ77" s="24"/>
      <c r="AK77" s="24"/>
      <c r="AL77" s="24"/>
      <c r="AM77" s="24"/>
      <c r="AN77" s="24"/>
      <c r="AO77" s="24"/>
      <c r="AP77" s="24"/>
      <c r="AQ77" s="24"/>
      <c r="AR77" s="24"/>
      <c r="AS77" s="24"/>
      <c r="AT77" s="24"/>
      <c r="AU77" s="24"/>
      <c r="AV77" s="24"/>
    </row>
    <row r="78" spans="1:48">
      <c r="B78" s="21" t="s">
        <v>76</v>
      </c>
      <c r="C78" s="35">
        <f t="shared" ref="C78:D78" si="24">C36</f>
        <v>0</v>
      </c>
      <c r="D78" s="35">
        <f t="shared" si="24"/>
        <v>0</v>
      </c>
      <c r="E78" s="35" t="e">
        <f t="shared" ref="E78:E82" si="25">C78+D78*D$26</f>
        <v>#VALUE!</v>
      </c>
      <c r="F78" s="35" t="e">
        <f t="shared" ref="F78:F82" si="26">ROUND(E78/1000,)</f>
        <v>#VALUE!</v>
      </c>
      <c r="G78" s="24"/>
      <c r="H78" s="24"/>
      <c r="I78" s="24"/>
      <c r="J78" s="24"/>
      <c r="K78" s="24"/>
      <c r="L78" s="24"/>
      <c r="M78" s="24"/>
      <c r="N78" s="24"/>
      <c r="O78" s="24"/>
      <c r="P78" s="24"/>
      <c r="Q78" s="24"/>
      <c r="R78" s="24"/>
      <c r="S78" s="24"/>
      <c r="T78" s="24"/>
      <c r="U78" s="24"/>
      <c r="V78" s="24"/>
      <c r="W78" s="24"/>
      <c r="X78" s="24"/>
      <c r="Y78" s="24"/>
      <c r="Z78" s="24"/>
      <c r="AA78" s="24"/>
      <c r="AB78" s="24"/>
      <c r="AC78" s="24"/>
      <c r="AD78" s="24"/>
      <c r="AE78" s="24"/>
      <c r="AF78" s="24"/>
      <c r="AG78" s="24"/>
      <c r="AH78" s="24"/>
      <c r="AI78" s="24"/>
      <c r="AJ78" s="24"/>
      <c r="AK78" s="24"/>
      <c r="AL78" s="24"/>
      <c r="AM78" s="24"/>
      <c r="AN78" s="24"/>
      <c r="AO78" s="24"/>
      <c r="AP78" s="24"/>
      <c r="AQ78" s="24"/>
      <c r="AR78" s="24"/>
      <c r="AS78" s="24"/>
      <c r="AT78" s="24"/>
      <c r="AU78" s="24"/>
      <c r="AV78" s="24"/>
    </row>
    <row r="79" spans="1:48">
      <c r="B79" s="21" t="s">
        <v>77</v>
      </c>
      <c r="C79" s="35">
        <f t="shared" ref="C79:D79" si="27">C80+C81</f>
        <v>0</v>
      </c>
      <c r="D79" s="35">
        <f t="shared" si="27"/>
        <v>0</v>
      </c>
      <c r="E79" s="35" t="e">
        <f t="shared" si="25"/>
        <v>#VALUE!</v>
      </c>
      <c r="F79" s="35" t="e">
        <f t="shared" si="26"/>
        <v>#VALUE!</v>
      </c>
      <c r="G79" s="24"/>
      <c r="H79" s="24"/>
      <c r="I79" s="24"/>
      <c r="J79" s="24"/>
      <c r="K79" s="24"/>
      <c r="L79" s="24"/>
      <c r="M79" s="24"/>
      <c r="N79" s="24"/>
      <c r="O79" s="24"/>
      <c r="P79" s="24"/>
      <c r="Q79" s="24"/>
      <c r="R79" s="24"/>
      <c r="S79" s="24"/>
      <c r="T79" s="24"/>
      <c r="U79" s="24"/>
      <c r="V79" s="24"/>
      <c r="W79" s="24"/>
      <c r="X79" s="24"/>
      <c r="Y79" s="24"/>
      <c r="Z79" s="24"/>
      <c r="AA79" s="24"/>
      <c r="AB79" s="24"/>
      <c r="AC79" s="24"/>
      <c r="AD79" s="24"/>
      <c r="AE79" s="24"/>
      <c r="AF79" s="24"/>
      <c r="AG79" s="24"/>
      <c r="AH79" s="24"/>
      <c r="AI79" s="24"/>
      <c r="AJ79" s="24"/>
      <c r="AK79" s="24"/>
      <c r="AL79" s="24"/>
      <c r="AM79" s="24"/>
      <c r="AN79" s="24"/>
      <c r="AO79" s="24"/>
      <c r="AP79" s="24"/>
      <c r="AQ79" s="24"/>
      <c r="AR79" s="24"/>
      <c r="AS79" s="24"/>
      <c r="AT79" s="24"/>
      <c r="AU79" s="24"/>
      <c r="AV79" s="24"/>
    </row>
    <row r="80" spans="1:48" s="23" customFormat="1">
      <c r="A80" s="29"/>
      <c r="B80" s="22" t="s">
        <v>91</v>
      </c>
      <c r="C80" s="35">
        <f t="shared" ref="C80:D80" si="28">C37</f>
        <v>0</v>
      </c>
      <c r="D80" s="35">
        <f t="shared" si="28"/>
        <v>0</v>
      </c>
      <c r="E80" s="35" t="e">
        <f t="shared" si="25"/>
        <v>#VALUE!</v>
      </c>
      <c r="F80" s="35" t="e">
        <f t="shared" si="26"/>
        <v>#VALUE!</v>
      </c>
      <c r="G80" s="25"/>
      <c r="H80" s="25"/>
      <c r="I80" s="25"/>
      <c r="J80" s="25"/>
      <c r="K80" s="25"/>
      <c r="L80" s="25"/>
      <c r="M80" s="25"/>
      <c r="N80" s="25"/>
      <c r="O80" s="25"/>
      <c r="P80" s="25"/>
      <c r="Q80" s="25"/>
      <c r="R80" s="25"/>
      <c r="S80" s="25"/>
      <c r="T80" s="25"/>
      <c r="U80" s="25"/>
      <c r="V80" s="25"/>
      <c r="W80" s="25"/>
      <c r="X80" s="25"/>
      <c r="Y80" s="25"/>
      <c r="Z80" s="25"/>
      <c r="AA80" s="25"/>
      <c r="AB80" s="25"/>
      <c r="AC80" s="25"/>
      <c r="AD80" s="25"/>
      <c r="AE80" s="25"/>
      <c r="AF80" s="25"/>
      <c r="AG80" s="25"/>
      <c r="AH80" s="25"/>
      <c r="AI80" s="25"/>
      <c r="AJ80" s="25"/>
      <c r="AK80" s="25"/>
      <c r="AL80" s="25"/>
      <c r="AM80" s="25"/>
      <c r="AN80" s="25"/>
      <c r="AO80" s="25"/>
      <c r="AP80" s="25"/>
      <c r="AQ80" s="25"/>
      <c r="AR80" s="25"/>
      <c r="AS80" s="25"/>
      <c r="AT80" s="25"/>
      <c r="AU80" s="25"/>
      <c r="AV80" s="25"/>
    </row>
    <row r="81" spans="1:48" s="23" customFormat="1">
      <c r="A81" s="29"/>
      <c r="B81" s="22" t="s">
        <v>92</v>
      </c>
      <c r="C81" s="35">
        <f>SUMIFS(AP_Aging!$Q:$Q,AP_Aging!$C:$C,AP_Breakdown!C$1,AP_Aging!$G:$G,"合併事業體")+SUMIFS(AP_Aging!$Q:$Q,AP_Aging!$C:$C,AP_Breakdown!C$1,AP_Aging!$G:$G,"FIT group")</f>
        <v>0</v>
      </c>
      <c r="D81" s="35">
        <f>SUMIFS(AP_Aging!$Q:$Q,AP_Aging!$C:$C,AP_Breakdown!D$1,AP_Aging!$G:$G,"合併事業體")+SUMIFS(AP_Aging!$Q:$Q,AP_Aging!$C:$C,AP_Breakdown!D$1,AP_Aging!$G:$G,"FIT group")</f>
        <v>0</v>
      </c>
      <c r="E81" s="35" t="e">
        <f t="shared" si="25"/>
        <v>#VALUE!</v>
      </c>
      <c r="F81" s="35" t="e">
        <f t="shared" si="26"/>
        <v>#VALUE!</v>
      </c>
      <c r="G81" s="25"/>
      <c r="H81" s="25"/>
      <c r="I81" s="25"/>
      <c r="J81" s="25"/>
      <c r="K81" s="25"/>
      <c r="L81" s="25"/>
      <c r="M81" s="25"/>
      <c r="N81" s="25"/>
      <c r="O81" s="25"/>
      <c r="P81" s="25"/>
      <c r="Q81" s="25"/>
      <c r="R81" s="25"/>
      <c r="S81" s="25"/>
      <c r="T81" s="25"/>
      <c r="U81" s="25"/>
      <c r="V81" s="25"/>
      <c r="W81" s="25"/>
      <c r="X81" s="25"/>
      <c r="Y81" s="25"/>
      <c r="Z81" s="25"/>
      <c r="AA81" s="25"/>
      <c r="AB81" s="25"/>
      <c r="AC81" s="25"/>
      <c r="AD81" s="25"/>
      <c r="AE81" s="25"/>
      <c r="AF81" s="25"/>
      <c r="AG81" s="25"/>
      <c r="AH81" s="25"/>
      <c r="AI81" s="25"/>
      <c r="AJ81" s="25"/>
      <c r="AK81" s="25"/>
      <c r="AL81" s="25"/>
      <c r="AM81" s="25"/>
      <c r="AN81" s="25"/>
      <c r="AO81" s="25"/>
      <c r="AP81" s="25"/>
      <c r="AQ81" s="25"/>
      <c r="AR81" s="25"/>
      <c r="AS81" s="25"/>
      <c r="AT81" s="25"/>
      <c r="AU81" s="25"/>
      <c r="AV81" s="25"/>
    </row>
    <row r="82" spans="1:48">
      <c r="B82" s="21" t="s">
        <v>50</v>
      </c>
      <c r="C82" s="35">
        <f t="shared" ref="C82:D82" si="29">SUM(C78:C79)</f>
        <v>0</v>
      </c>
      <c r="D82" s="35">
        <f t="shared" si="29"/>
        <v>0</v>
      </c>
      <c r="E82" s="35" t="e">
        <f t="shared" si="25"/>
        <v>#VALUE!</v>
      </c>
      <c r="F82" s="35" t="e">
        <f t="shared" si="26"/>
        <v>#VALUE!</v>
      </c>
      <c r="G82" s="24"/>
      <c r="H82" s="24"/>
      <c r="I82" s="24"/>
      <c r="J82" s="24"/>
      <c r="K82" s="24"/>
      <c r="L82" s="24"/>
      <c r="M82" s="24"/>
      <c r="N82" s="24"/>
      <c r="O82" s="24"/>
      <c r="P82" s="24"/>
      <c r="Q82" s="24"/>
      <c r="R82" s="24"/>
      <c r="S82" s="24"/>
      <c r="T82" s="24"/>
      <c r="U82" s="24"/>
      <c r="V82" s="24"/>
      <c r="W82" s="24"/>
      <c r="X82" s="24"/>
      <c r="Y82" s="24"/>
      <c r="Z82" s="24"/>
      <c r="AA82" s="24"/>
      <c r="AB82" s="24"/>
      <c r="AC82" s="24"/>
      <c r="AD82" s="24"/>
      <c r="AE82" s="24"/>
      <c r="AF82" s="24"/>
      <c r="AG82" s="24"/>
      <c r="AH82" s="24"/>
      <c r="AI82" s="24"/>
      <c r="AJ82" s="24"/>
      <c r="AK82" s="24"/>
      <c r="AL82" s="24"/>
      <c r="AM82" s="24"/>
      <c r="AN82" s="24"/>
      <c r="AO82" s="24"/>
      <c r="AP82" s="24"/>
      <c r="AQ82" s="24"/>
      <c r="AR82" s="24"/>
      <c r="AS82" s="24"/>
      <c r="AT82" s="24"/>
      <c r="AU82" s="24"/>
      <c r="AV82" s="24"/>
    </row>
    <row r="83" spans="1:48">
      <c r="B83" s="21" t="s">
        <v>155</v>
      </c>
      <c r="C83" s="35">
        <f t="shared" ref="C83:D83" si="30">C4-C82</f>
        <v>0</v>
      </c>
      <c r="D83" s="35">
        <f t="shared" si="30"/>
        <v>0</v>
      </c>
      <c r="E83" s="33"/>
      <c r="F83" s="71"/>
      <c r="G83" s="70"/>
      <c r="H83" s="24"/>
      <c r="I83" s="24"/>
      <c r="J83" s="24"/>
      <c r="K83" s="24"/>
      <c r="L83" s="24"/>
      <c r="M83" s="24"/>
      <c r="N83" s="24"/>
      <c r="O83" s="24"/>
      <c r="P83" s="24"/>
      <c r="Q83" s="24"/>
      <c r="R83" s="24"/>
      <c r="S83" s="24"/>
      <c r="T83" s="24"/>
      <c r="U83" s="24"/>
      <c r="V83" s="24"/>
      <c r="W83" s="24"/>
      <c r="X83" s="24"/>
      <c r="Y83" s="24"/>
      <c r="Z83" s="24"/>
      <c r="AA83" s="24"/>
      <c r="AB83" s="24"/>
      <c r="AC83" s="24"/>
      <c r="AD83" s="24"/>
      <c r="AE83" s="24"/>
      <c r="AF83" s="24"/>
      <c r="AG83" s="24"/>
      <c r="AH83" s="24"/>
      <c r="AI83" s="24"/>
      <c r="AJ83" s="24"/>
      <c r="AK83" s="24"/>
      <c r="AL83" s="24"/>
      <c r="AM83" s="24"/>
      <c r="AN83" s="24"/>
      <c r="AO83" s="24"/>
      <c r="AP83" s="24"/>
      <c r="AQ83" s="24"/>
      <c r="AR83" s="24"/>
      <c r="AS83" s="24"/>
      <c r="AT83" s="24"/>
      <c r="AU83" s="24"/>
      <c r="AV83" s="24"/>
    </row>
  </sheetData>
  <sheetProtection algorithmName="SHA-512" hashValue="TRkDms5x0ZBGgzx7vxPArUvYKn+V9QK/qcNakPmxbcixiUiN212NXRjd/d0TgEgexv5X/jsutCajrtvlze9sWQ==" saltValue="spsgdmSKME9g+FP2NPpmng==" spinCount="100000" sheet="1" formatColumns="0" formatRows="0" sort="0" autoFilter="0" pivotTables="0"/>
  <mergeCells count="3">
    <mergeCell ref="B35:AV35"/>
    <mergeCell ref="B39:AV39"/>
    <mergeCell ref="B57:F57"/>
  </mergeCells>
  <pageMargins left="0.75" right="0.75" top="1" bottom="1" header="0.5" footer="0.5"/>
  <headerFooter alignWithMargins="0"/>
  <customProperties>
    <customPr name="SheetOptions" r:id="rId1"/>
  </customPropertie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8"/>
  <dimension ref="A1:AW69"/>
  <sheetViews>
    <sheetView workbookViewId="0">
      <selection activeCell="I18" sqref="I18"/>
    </sheetView>
  </sheetViews>
  <sheetFormatPr defaultRowHeight="13.2" customHeight="1"/>
  <cols>
    <col min="1" max="1" width="7.33203125" style="42" customWidth="1"/>
    <col min="2" max="2" width="16.33203125" style="42" customWidth="1"/>
    <col min="3" max="3" width="18.44140625" style="42" customWidth="1"/>
    <col min="4" max="4" width="13.44140625" style="42" customWidth="1"/>
    <col min="5" max="5" width="8.88671875" style="42" customWidth="1"/>
    <col min="6" max="6" width="11.33203125" style="42" customWidth="1"/>
    <col min="7" max="7" width="9.88671875" style="42" customWidth="1"/>
    <col min="8" max="8" width="8.88671875" style="42" customWidth="1"/>
    <col min="9" max="9" width="11.33203125" style="42" customWidth="1"/>
    <col min="10" max="10" width="12.33203125" style="42" customWidth="1"/>
    <col min="11" max="11" width="8.88671875" style="42" customWidth="1"/>
    <col min="12" max="12" width="9.88671875" style="42" customWidth="1"/>
    <col min="13" max="13" width="12.33203125" style="42" customWidth="1"/>
    <col min="14" max="14" width="7.88671875" style="42" customWidth="1"/>
    <col min="15" max="16" width="9.88671875" style="42" customWidth="1"/>
    <col min="17" max="17" width="7.88671875" style="42" customWidth="1"/>
    <col min="18" max="18" width="14.88671875" style="42" customWidth="1"/>
    <col min="19" max="19" width="13.44140625" style="42" customWidth="1"/>
    <col min="20" max="20" width="7.88671875" style="42" customWidth="1"/>
    <col min="21" max="22" width="13.44140625" style="42" customWidth="1"/>
    <col min="23" max="24" width="12.33203125" style="42" customWidth="1"/>
    <col min="25" max="25" width="11.33203125" style="42" customWidth="1"/>
    <col min="26" max="26" width="12.33203125" style="42" customWidth="1"/>
    <col min="27" max="27" width="15.88671875" style="42" customWidth="1"/>
    <col min="28" max="28" width="12.33203125" style="42" customWidth="1"/>
    <col min="29" max="29" width="11.33203125" style="42" customWidth="1"/>
    <col min="30" max="30" width="12.33203125" style="42" customWidth="1"/>
    <col min="31" max="31" width="15.88671875" style="42" customWidth="1"/>
    <col min="32" max="32" width="9.88671875" style="42" customWidth="1"/>
    <col min="33" max="33" width="13.44140625" style="42" customWidth="1"/>
    <col min="34" max="34" width="12.33203125" style="42" customWidth="1"/>
    <col min="35" max="36" width="9.88671875" style="42" customWidth="1"/>
    <col min="37" max="37" width="11.33203125" style="42" customWidth="1"/>
    <col min="38" max="38" width="12.33203125" style="42" customWidth="1"/>
    <col min="39" max="39" width="11.33203125" style="42" customWidth="1"/>
    <col min="40" max="40" width="14.88671875" style="42" customWidth="1"/>
    <col min="41" max="41" width="12.33203125" style="42" customWidth="1"/>
    <col min="42" max="42" width="7.88671875" style="42" customWidth="1"/>
    <col min="43" max="43" width="12.33203125" style="42" customWidth="1"/>
    <col min="44" max="44" width="7.88671875" style="42" customWidth="1"/>
    <col min="45" max="45" width="12.33203125" style="42" customWidth="1"/>
    <col min="46" max="46" width="11.33203125" style="42" customWidth="1"/>
    <col min="47" max="47" width="12.33203125" style="42" customWidth="1"/>
    <col min="48" max="48" width="11.33203125" style="42" customWidth="1"/>
    <col min="49" max="49" width="18.44140625" style="42" customWidth="1"/>
    <col min="50" max="16384" width="8.88671875" style="42"/>
  </cols>
  <sheetData>
    <row r="1" spans="1:49" ht="13.2" customHeight="1">
      <c r="A1"/>
      <c r="B1"/>
      <c r="C1"/>
      <c r="D1"/>
      <c r="E1"/>
      <c r="F1"/>
      <c r="G1"/>
      <c r="H1"/>
      <c r="I1"/>
      <c r="J1"/>
      <c r="K1"/>
      <c r="L1"/>
      <c r="M1"/>
      <c r="N1"/>
      <c r="O1"/>
      <c r="P1"/>
      <c r="Q1"/>
      <c r="R1"/>
      <c r="S1"/>
      <c r="T1"/>
      <c r="U1"/>
      <c r="V1"/>
      <c r="W1"/>
      <c r="X1"/>
      <c r="Y1"/>
      <c r="Z1"/>
      <c r="AA1"/>
      <c r="AB1"/>
      <c r="AC1"/>
      <c r="AD1"/>
      <c r="AE1"/>
      <c r="AF1"/>
      <c r="AG1"/>
      <c r="AH1"/>
      <c r="AI1"/>
      <c r="AJ1"/>
      <c r="AK1"/>
      <c r="AL1"/>
      <c r="AM1"/>
      <c r="AN1"/>
      <c r="AO1"/>
      <c r="AP1"/>
      <c r="AQ1"/>
      <c r="AR1"/>
      <c r="AS1"/>
      <c r="AT1"/>
      <c r="AU1"/>
      <c r="AV1"/>
      <c r="AW1"/>
    </row>
    <row r="2" spans="1:49" ht="13.2" customHeight="1">
      <c r="A2"/>
      <c r="B2"/>
      <c r="C2"/>
      <c r="D2"/>
      <c r="E2"/>
      <c r="F2"/>
      <c r="G2"/>
      <c r="H2"/>
      <c r="I2"/>
      <c r="J2"/>
      <c r="K2"/>
      <c r="L2"/>
      <c r="M2"/>
      <c r="N2"/>
      <c r="O2"/>
      <c r="P2"/>
      <c r="Q2"/>
      <c r="R2"/>
      <c r="S2"/>
      <c r="T2"/>
      <c r="U2"/>
      <c r="V2"/>
      <c r="W2"/>
      <c r="X2"/>
      <c r="Y2"/>
      <c r="Z2"/>
      <c r="AA2"/>
      <c r="AB2"/>
      <c r="AC2"/>
      <c r="AD2"/>
      <c r="AE2"/>
      <c r="AF2"/>
      <c r="AG2"/>
      <c r="AH2"/>
      <c r="AI2"/>
      <c r="AJ2"/>
      <c r="AK2"/>
      <c r="AL2"/>
      <c r="AM2"/>
      <c r="AN2"/>
      <c r="AO2"/>
      <c r="AP2"/>
      <c r="AQ2"/>
      <c r="AR2"/>
      <c r="AS2"/>
      <c r="AT2"/>
      <c r="AU2"/>
      <c r="AV2"/>
      <c r="AW2"/>
    </row>
    <row r="3" spans="1:49" ht="13.2" customHeight="1">
      <c r="A3"/>
      <c r="B3"/>
      <c r="C3"/>
      <c r="D3"/>
      <c r="E3"/>
      <c r="F3"/>
      <c r="G3"/>
      <c r="H3"/>
      <c r="I3"/>
      <c r="J3"/>
      <c r="K3"/>
      <c r="L3"/>
      <c r="M3"/>
      <c r="N3"/>
      <c r="O3"/>
      <c r="P3"/>
      <c r="Q3"/>
      <c r="R3"/>
      <c r="S3"/>
      <c r="T3"/>
      <c r="U3"/>
      <c r="V3"/>
      <c r="W3"/>
      <c r="X3"/>
      <c r="Y3"/>
      <c r="Z3"/>
      <c r="AA3"/>
      <c r="AB3"/>
      <c r="AC3"/>
      <c r="AD3"/>
      <c r="AE3"/>
      <c r="AF3"/>
      <c r="AG3"/>
      <c r="AH3"/>
      <c r="AI3"/>
      <c r="AJ3"/>
      <c r="AK3"/>
      <c r="AL3"/>
      <c r="AM3"/>
      <c r="AN3"/>
      <c r="AO3"/>
      <c r="AP3"/>
      <c r="AQ3"/>
      <c r="AR3"/>
      <c r="AS3"/>
      <c r="AT3"/>
      <c r="AU3"/>
      <c r="AV3"/>
      <c r="AW3"/>
    </row>
    <row r="4" spans="1:49" ht="13.2" customHeight="1">
      <c r="A4"/>
      <c r="B4"/>
      <c r="C4"/>
      <c r="D4"/>
      <c r="E4"/>
      <c r="F4"/>
      <c r="G4"/>
      <c r="H4"/>
      <c r="I4"/>
      <c r="J4"/>
      <c r="K4"/>
      <c r="L4"/>
      <c r="M4"/>
      <c r="N4"/>
      <c r="O4"/>
      <c r="P4"/>
      <c r="Q4"/>
      <c r="R4"/>
      <c r="S4"/>
      <c r="T4"/>
      <c r="U4"/>
      <c r="V4"/>
      <c r="W4"/>
      <c r="X4"/>
      <c r="Y4"/>
      <c r="Z4"/>
      <c r="AA4"/>
      <c r="AB4"/>
      <c r="AC4"/>
      <c r="AD4"/>
      <c r="AE4"/>
      <c r="AF4"/>
      <c r="AG4"/>
      <c r="AH4"/>
      <c r="AI4"/>
      <c r="AJ4"/>
      <c r="AK4"/>
      <c r="AL4"/>
      <c r="AM4"/>
      <c r="AN4"/>
      <c r="AO4"/>
      <c r="AP4"/>
      <c r="AQ4"/>
      <c r="AR4"/>
      <c r="AS4"/>
      <c r="AT4"/>
      <c r="AU4"/>
      <c r="AV4"/>
      <c r="AW4"/>
    </row>
    <row r="5" spans="1:49" ht="13.2" customHeight="1">
      <c r="A5"/>
      <c r="B5"/>
      <c r="C5"/>
      <c r="D5"/>
      <c r="E5"/>
      <c r="F5"/>
      <c r="G5"/>
      <c r="H5"/>
      <c r="I5"/>
      <c r="J5"/>
      <c r="K5"/>
      <c r="L5"/>
      <c r="M5"/>
      <c r="N5"/>
      <c r="O5"/>
      <c r="P5"/>
      <c r="Q5"/>
      <c r="R5"/>
      <c r="S5"/>
      <c r="T5"/>
      <c r="U5"/>
      <c r="V5"/>
      <c r="W5"/>
      <c r="X5"/>
      <c r="Y5"/>
      <c r="Z5"/>
      <c r="AA5"/>
      <c r="AB5"/>
      <c r="AC5"/>
      <c r="AD5"/>
      <c r="AE5"/>
      <c r="AF5"/>
      <c r="AG5"/>
      <c r="AH5"/>
      <c r="AI5"/>
      <c r="AJ5"/>
      <c r="AK5"/>
      <c r="AL5"/>
      <c r="AM5"/>
      <c r="AN5"/>
      <c r="AO5"/>
      <c r="AP5"/>
      <c r="AQ5"/>
      <c r="AR5"/>
      <c r="AS5"/>
      <c r="AT5"/>
      <c r="AU5"/>
      <c r="AV5"/>
      <c r="AW5"/>
    </row>
    <row r="6" spans="1:49" ht="13.2" customHeight="1">
      <c r="A6"/>
      <c r="B6"/>
      <c r="C6"/>
      <c r="D6"/>
      <c r="E6"/>
      <c r="F6"/>
      <c r="G6"/>
      <c r="H6"/>
      <c r="I6"/>
      <c r="J6"/>
      <c r="K6"/>
      <c r="L6"/>
      <c r="M6"/>
      <c r="N6"/>
      <c r="O6"/>
      <c r="P6"/>
      <c r="Q6"/>
      <c r="R6"/>
      <c r="S6"/>
      <c r="T6"/>
      <c r="U6"/>
      <c r="V6"/>
      <c r="W6"/>
      <c r="X6"/>
      <c r="Y6"/>
      <c r="Z6"/>
      <c r="AA6"/>
      <c r="AB6"/>
      <c r="AC6"/>
      <c r="AD6"/>
      <c r="AE6"/>
      <c r="AF6"/>
      <c r="AG6"/>
      <c r="AH6"/>
      <c r="AI6"/>
      <c r="AJ6"/>
      <c r="AK6"/>
      <c r="AL6"/>
      <c r="AM6"/>
      <c r="AN6"/>
      <c r="AO6"/>
      <c r="AP6"/>
      <c r="AQ6"/>
      <c r="AR6"/>
      <c r="AS6"/>
      <c r="AT6"/>
      <c r="AU6"/>
      <c r="AV6"/>
      <c r="AW6"/>
    </row>
    <row r="7" spans="1:49" ht="13.2" customHeight="1">
      <c r="A7"/>
      <c r="B7"/>
      <c r="C7"/>
      <c r="D7"/>
      <c r="E7"/>
      <c r="F7"/>
      <c r="G7"/>
      <c r="H7"/>
      <c r="I7"/>
      <c r="J7"/>
      <c r="K7"/>
      <c r="L7"/>
      <c r="M7"/>
      <c r="N7"/>
      <c r="O7"/>
      <c r="P7"/>
      <c r="Q7"/>
      <c r="R7"/>
      <c r="S7"/>
      <c r="T7"/>
      <c r="U7"/>
      <c r="V7"/>
      <c r="W7"/>
      <c r="X7"/>
      <c r="Y7"/>
      <c r="Z7"/>
      <c r="AA7"/>
      <c r="AB7"/>
      <c r="AC7"/>
      <c r="AD7"/>
      <c r="AE7"/>
      <c r="AF7"/>
      <c r="AG7"/>
      <c r="AH7"/>
      <c r="AI7"/>
      <c r="AJ7"/>
      <c r="AK7"/>
      <c r="AL7"/>
      <c r="AM7"/>
      <c r="AN7"/>
      <c r="AO7"/>
      <c r="AP7"/>
      <c r="AQ7"/>
      <c r="AR7"/>
      <c r="AS7"/>
      <c r="AT7"/>
      <c r="AU7"/>
      <c r="AV7"/>
      <c r="AW7"/>
    </row>
    <row r="8" spans="1:49" ht="13.2" customHeight="1">
      <c r="A8"/>
      <c r="B8"/>
      <c r="C8"/>
      <c r="D8"/>
      <c r="E8"/>
      <c r="F8"/>
      <c r="G8"/>
      <c r="H8"/>
      <c r="I8"/>
      <c r="J8"/>
      <c r="K8"/>
      <c r="L8"/>
      <c r="M8"/>
      <c r="N8"/>
      <c r="O8"/>
      <c r="P8"/>
      <c r="Q8"/>
      <c r="R8"/>
      <c r="S8"/>
      <c r="T8"/>
      <c r="U8"/>
      <c r="V8"/>
      <c r="W8"/>
      <c r="X8"/>
      <c r="Y8"/>
      <c r="Z8"/>
      <c r="AA8"/>
      <c r="AB8"/>
      <c r="AC8"/>
      <c r="AD8"/>
      <c r="AE8"/>
      <c r="AF8"/>
      <c r="AG8"/>
      <c r="AH8"/>
      <c r="AI8"/>
      <c r="AJ8"/>
      <c r="AK8"/>
      <c r="AL8"/>
      <c r="AM8"/>
      <c r="AN8"/>
      <c r="AO8"/>
      <c r="AP8"/>
      <c r="AQ8"/>
      <c r="AR8"/>
      <c r="AS8"/>
      <c r="AT8"/>
      <c r="AU8"/>
      <c r="AV8"/>
      <c r="AW8"/>
    </row>
    <row r="9" spans="1:49" ht="13.2" customHeight="1">
      <c r="A9"/>
      <c r="B9"/>
      <c r="C9"/>
      <c r="D9"/>
      <c r="E9"/>
      <c r="F9"/>
      <c r="G9"/>
      <c r="H9"/>
      <c r="I9"/>
      <c r="J9"/>
      <c r="K9"/>
      <c r="L9"/>
      <c r="M9"/>
      <c r="N9"/>
      <c r="O9"/>
      <c r="P9"/>
      <c r="Q9"/>
      <c r="R9"/>
      <c r="S9"/>
      <c r="T9"/>
      <c r="U9"/>
      <c r="V9"/>
      <c r="W9"/>
      <c r="X9"/>
      <c r="Y9"/>
      <c r="Z9"/>
      <c r="AA9"/>
      <c r="AB9"/>
      <c r="AC9"/>
      <c r="AD9"/>
      <c r="AE9"/>
      <c r="AF9"/>
      <c r="AG9"/>
      <c r="AH9"/>
      <c r="AI9"/>
      <c r="AJ9"/>
      <c r="AK9"/>
      <c r="AL9"/>
      <c r="AM9"/>
      <c r="AN9"/>
      <c r="AO9"/>
      <c r="AP9"/>
      <c r="AQ9"/>
      <c r="AR9"/>
      <c r="AS9"/>
      <c r="AT9"/>
      <c r="AU9"/>
      <c r="AV9"/>
      <c r="AW9"/>
    </row>
    <row r="10" spans="1:49" ht="13.2" customHeight="1">
      <c r="A10"/>
      <c r="B10"/>
      <c r="C10"/>
      <c r="D10"/>
      <c r="E10"/>
      <c r="F10"/>
      <c r="G10"/>
      <c r="H10"/>
      <c r="I10"/>
      <c r="J10"/>
      <c r="K10"/>
      <c r="L10"/>
      <c r="M10"/>
      <c r="N10"/>
      <c r="O10"/>
      <c r="P10"/>
      <c r="Q10"/>
      <c r="R10"/>
      <c r="S10"/>
      <c r="T10"/>
      <c r="U10"/>
      <c r="V10"/>
      <c r="W10"/>
      <c r="X10"/>
      <c r="Y10"/>
      <c r="Z10"/>
      <c r="AA10"/>
      <c r="AB10"/>
      <c r="AC10"/>
      <c r="AD10"/>
      <c r="AE10"/>
      <c r="AF10"/>
      <c r="AG10"/>
      <c r="AH10"/>
      <c r="AI10"/>
      <c r="AJ10"/>
      <c r="AK10"/>
      <c r="AL10"/>
      <c r="AM10"/>
      <c r="AN10"/>
      <c r="AO10"/>
      <c r="AP10"/>
      <c r="AQ10"/>
      <c r="AR10"/>
      <c r="AS10"/>
      <c r="AT10"/>
      <c r="AU10"/>
      <c r="AV10"/>
      <c r="AW10"/>
    </row>
    <row r="11" spans="1:49" ht="13.2" customHeight="1">
      <c r="A11"/>
      <c r="B11"/>
      <c r="C11"/>
      <c r="D11"/>
      <c r="E11"/>
      <c r="F11"/>
      <c r="G11"/>
      <c r="H11"/>
      <c r="I11"/>
      <c r="J11"/>
      <c r="K11"/>
      <c r="L11"/>
      <c r="M11"/>
      <c r="N11"/>
      <c r="O11"/>
      <c r="P11"/>
      <c r="Q11"/>
      <c r="R11"/>
      <c r="S11"/>
      <c r="T11"/>
      <c r="U11"/>
      <c r="V11"/>
      <c r="W11"/>
      <c r="X11"/>
      <c r="Y11"/>
      <c r="Z11"/>
      <c r="AA11"/>
      <c r="AB11"/>
      <c r="AC11"/>
      <c r="AD11"/>
      <c r="AE11"/>
      <c r="AF11"/>
      <c r="AG11"/>
      <c r="AH11"/>
      <c r="AI11"/>
      <c r="AJ11"/>
      <c r="AK11"/>
      <c r="AL11"/>
      <c r="AM11"/>
      <c r="AN11"/>
      <c r="AO11"/>
      <c r="AP11"/>
      <c r="AQ11"/>
      <c r="AR11"/>
      <c r="AS11"/>
      <c r="AT11"/>
      <c r="AU11"/>
      <c r="AV11"/>
      <c r="AW11"/>
    </row>
    <row r="12" spans="1:49" ht="13.2" customHeight="1">
      <c r="A12"/>
      <c r="B12"/>
      <c r="C12"/>
      <c r="D12"/>
      <c r="E12"/>
      <c r="F12"/>
      <c r="G12"/>
      <c r="H12"/>
      <c r="I12"/>
      <c r="J12"/>
      <c r="K12"/>
      <c r="L12"/>
      <c r="M12"/>
      <c r="N12"/>
      <c r="O12"/>
      <c r="P12"/>
      <c r="Q12"/>
      <c r="R12"/>
      <c r="S12"/>
      <c r="T12"/>
      <c r="U12"/>
      <c r="V12"/>
      <c r="W12"/>
      <c r="X12"/>
      <c r="Y12"/>
      <c r="Z12"/>
      <c r="AA12"/>
      <c r="AB12"/>
      <c r="AC12"/>
      <c r="AD12"/>
      <c r="AE12"/>
      <c r="AF12"/>
      <c r="AG12"/>
      <c r="AH12"/>
      <c r="AI12"/>
      <c r="AJ12"/>
      <c r="AK12"/>
      <c r="AL12"/>
      <c r="AM12"/>
      <c r="AN12"/>
      <c r="AO12"/>
      <c r="AP12"/>
      <c r="AQ12"/>
      <c r="AR12"/>
      <c r="AS12"/>
      <c r="AT12"/>
      <c r="AU12"/>
      <c r="AV12"/>
      <c r="AW12"/>
    </row>
    <row r="13" spans="1:49" ht="13.2" customHeight="1">
      <c r="A13"/>
      <c r="B13"/>
      <c r="C13"/>
      <c r="D13"/>
      <c r="E13"/>
      <c r="F13"/>
      <c r="G13"/>
      <c r="H13"/>
      <c r="I13"/>
      <c r="J13"/>
      <c r="K13"/>
      <c r="L13"/>
      <c r="M13"/>
      <c r="N13"/>
      <c r="O13"/>
      <c r="P13"/>
      <c r="Q13"/>
      <c r="R13"/>
      <c r="S13"/>
      <c r="T13"/>
      <c r="U13"/>
      <c r="V13"/>
      <c r="W13"/>
      <c r="X13"/>
      <c r="Y13"/>
      <c r="Z13"/>
      <c r="AA13"/>
      <c r="AB13"/>
      <c r="AC13"/>
      <c r="AD13"/>
      <c r="AE13"/>
      <c r="AF13"/>
      <c r="AG13"/>
      <c r="AH13"/>
      <c r="AI13"/>
      <c r="AJ13"/>
      <c r="AK13"/>
      <c r="AL13"/>
      <c r="AM13"/>
      <c r="AN13"/>
      <c r="AO13"/>
      <c r="AP13"/>
      <c r="AQ13"/>
      <c r="AR13"/>
      <c r="AS13"/>
      <c r="AT13"/>
      <c r="AU13"/>
      <c r="AV13"/>
      <c r="AW13"/>
    </row>
    <row r="14" spans="1:49" ht="13.2" customHeight="1">
      <c r="A14"/>
      <c r="B14"/>
      <c r="C14"/>
      <c r="D14"/>
      <c r="E14"/>
      <c r="F14"/>
      <c r="G14"/>
      <c r="H14"/>
      <c r="I14"/>
      <c r="J14"/>
      <c r="K14"/>
      <c r="L14"/>
      <c r="M14"/>
      <c r="N14"/>
      <c r="O14"/>
      <c r="P14"/>
      <c r="Q14"/>
      <c r="R14"/>
      <c r="S14"/>
      <c r="T14"/>
      <c r="U14"/>
      <c r="V14"/>
      <c r="W14"/>
      <c r="X14"/>
      <c r="Y14"/>
      <c r="Z14"/>
      <c r="AA14"/>
      <c r="AB14"/>
      <c r="AC14"/>
      <c r="AD14"/>
      <c r="AE14"/>
      <c r="AF14"/>
      <c r="AG14"/>
      <c r="AH14"/>
      <c r="AI14"/>
      <c r="AJ14"/>
      <c r="AK14"/>
      <c r="AL14"/>
      <c r="AM14"/>
      <c r="AN14"/>
      <c r="AO14"/>
      <c r="AP14"/>
      <c r="AQ14"/>
      <c r="AR14"/>
      <c r="AS14"/>
      <c r="AT14"/>
      <c r="AU14"/>
      <c r="AV14"/>
      <c r="AW14"/>
    </row>
    <row r="15" spans="1:49" ht="13.2" customHeight="1">
      <c r="A15"/>
      <c r="B15"/>
      <c r="C15"/>
      <c r="D15"/>
      <c r="E15"/>
      <c r="F15"/>
      <c r="G15"/>
      <c r="H15"/>
      <c r="I15"/>
      <c r="J15"/>
      <c r="K15"/>
      <c r="L15"/>
      <c r="M15"/>
      <c r="N15"/>
      <c r="O15"/>
      <c r="P15"/>
      <c r="Q15"/>
      <c r="R15"/>
      <c r="S15"/>
      <c r="T15"/>
      <c r="U15"/>
      <c r="V15"/>
      <c r="W15"/>
      <c r="X15"/>
      <c r="Y15"/>
      <c r="Z15"/>
      <c r="AA15"/>
      <c r="AB15"/>
      <c r="AC15"/>
      <c r="AD15"/>
      <c r="AE15"/>
      <c r="AF15"/>
      <c r="AG15"/>
      <c r="AH15"/>
      <c r="AI15"/>
      <c r="AJ15"/>
      <c r="AK15"/>
      <c r="AL15"/>
      <c r="AM15"/>
      <c r="AN15"/>
      <c r="AO15"/>
      <c r="AP15"/>
      <c r="AQ15"/>
      <c r="AR15"/>
      <c r="AS15"/>
      <c r="AT15"/>
      <c r="AU15"/>
      <c r="AV15"/>
      <c r="AW15"/>
    </row>
    <row r="16" spans="1:49" ht="13.2" customHeight="1">
      <c r="A16"/>
      <c r="B16"/>
      <c r="C16"/>
      <c r="D16"/>
      <c r="E16"/>
      <c r="F16"/>
      <c r="G16"/>
      <c r="H16"/>
      <c r="I16"/>
      <c r="J16"/>
      <c r="K16"/>
      <c r="L16"/>
      <c r="M16"/>
      <c r="N16"/>
      <c r="O16"/>
      <c r="P16"/>
      <c r="Q16"/>
      <c r="R16"/>
      <c r="S16"/>
      <c r="T16"/>
      <c r="U16"/>
      <c r="V16"/>
      <c r="W16"/>
      <c r="X16"/>
      <c r="Y16"/>
      <c r="Z16"/>
      <c r="AA16"/>
      <c r="AB16"/>
      <c r="AC16"/>
      <c r="AD16"/>
      <c r="AE16"/>
      <c r="AF16"/>
      <c r="AG16"/>
      <c r="AH16"/>
      <c r="AI16"/>
      <c r="AJ16"/>
      <c r="AK16"/>
      <c r="AL16"/>
      <c r="AM16"/>
      <c r="AN16"/>
      <c r="AO16"/>
      <c r="AP16"/>
      <c r="AQ16"/>
      <c r="AR16"/>
      <c r="AS16"/>
      <c r="AT16"/>
      <c r="AU16"/>
      <c r="AV16"/>
      <c r="AW16"/>
    </row>
    <row r="17" spans="1:49" ht="13.2" customHeight="1">
      <c r="A17"/>
      <c r="B17"/>
      <c r="C17"/>
      <c r="D17"/>
      <c r="E17"/>
      <c r="F17"/>
      <c r="G17"/>
      <c r="H17"/>
      <c r="I17"/>
      <c r="J17"/>
      <c r="K17"/>
      <c r="L17"/>
      <c r="M17"/>
      <c r="N17"/>
      <c r="O17"/>
      <c r="P17"/>
      <c r="Q17"/>
      <c r="R17"/>
      <c r="S17"/>
      <c r="T17"/>
      <c r="U17"/>
      <c r="V17"/>
      <c r="W17"/>
      <c r="X17"/>
      <c r="Y17"/>
      <c r="Z17"/>
      <c r="AA17"/>
      <c r="AB17"/>
      <c r="AC17"/>
      <c r="AD17"/>
      <c r="AE17"/>
      <c r="AF17"/>
      <c r="AG17"/>
      <c r="AH17"/>
      <c r="AI17"/>
      <c r="AJ17"/>
      <c r="AK17"/>
      <c r="AL17"/>
      <c r="AM17"/>
      <c r="AN17"/>
      <c r="AO17"/>
      <c r="AP17"/>
      <c r="AQ17"/>
      <c r="AR17"/>
      <c r="AS17"/>
      <c r="AT17"/>
      <c r="AU17"/>
      <c r="AV17"/>
      <c r="AW17"/>
    </row>
    <row r="18" spans="1:49" ht="13.2" customHeight="1">
      <c r="A18"/>
      <c r="B18"/>
      <c r="C18"/>
      <c r="D18"/>
      <c r="E18"/>
      <c r="F18"/>
      <c r="G18"/>
      <c r="H18"/>
      <c r="I18"/>
      <c r="J18"/>
      <c r="K18"/>
      <c r="L18"/>
      <c r="M18"/>
      <c r="N18"/>
      <c r="O18"/>
      <c r="P18"/>
      <c r="Q18"/>
      <c r="R18"/>
      <c r="S18"/>
      <c r="T18"/>
      <c r="U18"/>
      <c r="V18"/>
      <c r="W18"/>
      <c r="X18"/>
      <c r="Y18"/>
      <c r="Z18"/>
      <c r="AA18"/>
      <c r="AB18"/>
      <c r="AC18"/>
      <c r="AD18"/>
      <c r="AE18"/>
      <c r="AF18"/>
      <c r="AG18"/>
      <c r="AH18"/>
      <c r="AI18"/>
      <c r="AJ18"/>
      <c r="AK18"/>
      <c r="AL18"/>
      <c r="AM18"/>
      <c r="AN18"/>
      <c r="AO18"/>
      <c r="AP18"/>
      <c r="AQ18"/>
      <c r="AR18"/>
      <c r="AS18"/>
      <c r="AT18"/>
      <c r="AU18"/>
      <c r="AV18"/>
      <c r="AW18"/>
    </row>
    <row r="19" spans="1:49" ht="13.2" customHeight="1">
      <c r="A19"/>
      <c r="B19"/>
      <c r="C19"/>
      <c r="D19"/>
      <c r="E19"/>
      <c r="F19"/>
      <c r="G19"/>
      <c r="H19"/>
      <c r="I19"/>
      <c r="J19"/>
      <c r="K19"/>
      <c r="L19"/>
      <c r="M19"/>
      <c r="N19"/>
      <c r="O19"/>
      <c r="P19"/>
      <c r="Q19"/>
      <c r="R19"/>
      <c r="S19"/>
      <c r="T19"/>
      <c r="U19"/>
      <c r="V19"/>
      <c r="W19"/>
      <c r="X19"/>
      <c r="Y19"/>
      <c r="Z19"/>
      <c r="AA19"/>
      <c r="AB19"/>
      <c r="AC19"/>
      <c r="AD19"/>
      <c r="AE19"/>
      <c r="AF19"/>
      <c r="AG19"/>
      <c r="AH19"/>
      <c r="AI19"/>
      <c r="AJ19"/>
      <c r="AK19"/>
      <c r="AL19"/>
      <c r="AM19"/>
      <c r="AN19"/>
      <c r="AO19"/>
      <c r="AP19"/>
      <c r="AQ19"/>
      <c r="AR19"/>
      <c r="AS19"/>
      <c r="AT19"/>
      <c r="AU19"/>
      <c r="AV19"/>
      <c r="AW19"/>
    </row>
    <row r="20" spans="1:49" ht="13.2" customHeight="1">
      <c r="A20"/>
      <c r="B20"/>
      <c r="C20"/>
      <c r="D20"/>
      <c r="E20"/>
      <c r="F20"/>
      <c r="G20"/>
      <c r="H20"/>
      <c r="I20"/>
      <c r="J20"/>
      <c r="K20"/>
      <c r="L20"/>
      <c r="M20"/>
      <c r="N20"/>
      <c r="O20"/>
      <c r="P20"/>
      <c r="Q20"/>
      <c r="R20"/>
      <c r="S20"/>
      <c r="T20"/>
      <c r="U20"/>
      <c r="V20"/>
      <c r="W20"/>
      <c r="X20"/>
      <c r="Y20"/>
      <c r="Z20"/>
      <c r="AA20"/>
      <c r="AB20"/>
      <c r="AC20"/>
      <c r="AD20"/>
      <c r="AE20"/>
      <c r="AF20"/>
      <c r="AG20"/>
      <c r="AH20"/>
      <c r="AI20"/>
      <c r="AJ20"/>
      <c r="AK20"/>
      <c r="AL20"/>
      <c r="AM20"/>
      <c r="AN20"/>
      <c r="AO20"/>
      <c r="AP20"/>
      <c r="AQ20"/>
      <c r="AR20"/>
      <c r="AS20"/>
      <c r="AT20"/>
      <c r="AU20"/>
      <c r="AV20"/>
      <c r="AW20"/>
    </row>
    <row r="21" spans="1:49" ht="13.2" customHeight="1">
      <c r="A21"/>
      <c r="B21"/>
      <c r="C21"/>
      <c r="D21"/>
      <c r="E21"/>
      <c r="F21"/>
      <c r="G21"/>
      <c r="H21"/>
      <c r="I21"/>
      <c r="J21"/>
      <c r="K21"/>
      <c r="L21"/>
      <c r="M21"/>
      <c r="N21"/>
      <c r="O21"/>
      <c r="P21"/>
      <c r="Q21"/>
      <c r="R21"/>
      <c r="S21"/>
      <c r="T21"/>
      <c r="U21"/>
      <c r="V21"/>
      <c r="W21"/>
      <c r="X21"/>
      <c r="Y21"/>
      <c r="Z21"/>
      <c r="AA21"/>
      <c r="AB21"/>
      <c r="AC21"/>
      <c r="AD21"/>
      <c r="AE21"/>
      <c r="AF21"/>
      <c r="AG21"/>
      <c r="AH21"/>
      <c r="AI21"/>
      <c r="AJ21"/>
      <c r="AK21"/>
      <c r="AL21"/>
      <c r="AM21"/>
      <c r="AN21"/>
      <c r="AO21"/>
      <c r="AP21"/>
      <c r="AQ21"/>
      <c r="AR21"/>
      <c r="AS21"/>
      <c r="AT21"/>
      <c r="AU21"/>
      <c r="AV21"/>
      <c r="AW21"/>
    </row>
    <row r="22" spans="1:49" ht="13.2" customHeight="1">
      <c r="A22"/>
      <c r="B22"/>
      <c r="C22"/>
      <c r="D22"/>
      <c r="E22"/>
      <c r="F22"/>
      <c r="G22"/>
      <c r="H22"/>
      <c r="I22"/>
      <c r="J22"/>
      <c r="K22"/>
      <c r="L22"/>
      <c r="M22"/>
      <c r="N22"/>
      <c r="O22"/>
      <c r="P22"/>
      <c r="Q22"/>
      <c r="R22"/>
      <c r="S22"/>
      <c r="T22"/>
      <c r="U22"/>
      <c r="V22"/>
      <c r="W22"/>
      <c r="X22"/>
      <c r="Y22"/>
      <c r="Z22"/>
      <c r="AA22"/>
      <c r="AB22"/>
      <c r="AC22"/>
      <c r="AD22"/>
      <c r="AE22"/>
      <c r="AF22"/>
      <c r="AG22"/>
      <c r="AH22"/>
      <c r="AI22"/>
      <c r="AJ22"/>
      <c r="AK22"/>
      <c r="AL22"/>
      <c r="AM22"/>
      <c r="AN22"/>
      <c r="AO22"/>
      <c r="AP22"/>
      <c r="AQ22"/>
      <c r="AR22"/>
      <c r="AS22"/>
      <c r="AT22"/>
      <c r="AU22"/>
      <c r="AV22"/>
      <c r="AW22"/>
    </row>
    <row r="23" spans="1:49" ht="13.2" customHeight="1">
      <c r="A23"/>
      <c r="B23"/>
      <c r="C23"/>
      <c r="D23"/>
      <c r="E23"/>
      <c r="F23"/>
      <c r="G23"/>
      <c r="H23"/>
      <c r="I23"/>
      <c r="J23"/>
      <c r="K23"/>
      <c r="L23"/>
      <c r="M23"/>
      <c r="N23"/>
      <c r="O23"/>
      <c r="P23"/>
      <c r="Q23"/>
      <c r="R23"/>
      <c r="S23"/>
      <c r="T23"/>
      <c r="U23"/>
      <c r="V23"/>
      <c r="W23"/>
      <c r="X23"/>
      <c r="Y23"/>
      <c r="Z23"/>
      <c r="AA23"/>
      <c r="AB23"/>
      <c r="AC23"/>
      <c r="AD23"/>
      <c r="AE23"/>
      <c r="AF23"/>
      <c r="AG23"/>
      <c r="AH23"/>
      <c r="AI23"/>
      <c r="AJ23"/>
      <c r="AK23"/>
      <c r="AL23"/>
      <c r="AM23"/>
      <c r="AN23"/>
      <c r="AO23"/>
      <c r="AP23"/>
      <c r="AQ23"/>
      <c r="AR23"/>
      <c r="AS23"/>
      <c r="AT23"/>
      <c r="AU23"/>
      <c r="AV23"/>
      <c r="AW23"/>
    </row>
    <row r="24" spans="1:49" ht="13.2" customHeight="1">
      <c r="A24"/>
      <c r="B24"/>
      <c r="C24"/>
      <c r="D24"/>
      <c r="E24"/>
      <c r="F24"/>
      <c r="G24"/>
      <c r="H24"/>
      <c r="I24"/>
      <c r="J24"/>
      <c r="K24"/>
      <c r="L24"/>
      <c r="M24"/>
      <c r="N24"/>
      <c r="O24"/>
      <c r="P24"/>
      <c r="Q24"/>
      <c r="R24"/>
      <c r="S24"/>
      <c r="T24"/>
      <c r="U24"/>
      <c r="V24"/>
      <c r="W24"/>
      <c r="X24"/>
      <c r="Y24"/>
      <c r="Z24"/>
      <c r="AA24"/>
      <c r="AB24"/>
      <c r="AC24"/>
      <c r="AD24"/>
      <c r="AE24"/>
      <c r="AF24"/>
      <c r="AG24"/>
      <c r="AH24"/>
      <c r="AI24"/>
      <c r="AJ24"/>
      <c r="AK24"/>
      <c r="AL24"/>
      <c r="AM24"/>
      <c r="AN24"/>
      <c r="AO24"/>
      <c r="AP24"/>
      <c r="AQ24"/>
      <c r="AR24"/>
      <c r="AS24"/>
      <c r="AT24"/>
      <c r="AU24"/>
      <c r="AV24"/>
      <c r="AW24"/>
    </row>
    <row r="25" spans="1:49" ht="13.2" customHeight="1">
      <c r="A25"/>
      <c r="B25"/>
      <c r="C25"/>
      <c r="D25"/>
      <c r="E25"/>
      <c r="F25"/>
      <c r="G25"/>
      <c r="H25"/>
      <c r="I25"/>
      <c r="J25"/>
      <c r="K25"/>
      <c r="L25"/>
      <c r="M25"/>
      <c r="N25"/>
      <c r="O25"/>
      <c r="P25"/>
      <c r="Q25"/>
      <c r="R25"/>
      <c r="S25"/>
      <c r="T25"/>
      <c r="U25"/>
      <c r="V25"/>
      <c r="W25"/>
      <c r="X25"/>
      <c r="Y25"/>
      <c r="Z25"/>
      <c r="AA25"/>
      <c r="AB25"/>
      <c r="AC25"/>
      <c r="AD25"/>
      <c r="AE25"/>
      <c r="AF25"/>
      <c r="AG25"/>
      <c r="AH25"/>
      <c r="AI25"/>
      <c r="AJ25"/>
      <c r="AK25"/>
      <c r="AL25"/>
      <c r="AM25"/>
      <c r="AN25"/>
      <c r="AO25"/>
      <c r="AP25"/>
      <c r="AQ25"/>
      <c r="AR25"/>
      <c r="AS25"/>
      <c r="AT25"/>
      <c r="AU25"/>
      <c r="AV25"/>
      <c r="AW25"/>
    </row>
    <row r="26" spans="1:49" ht="13.2" customHeight="1">
      <c r="A26"/>
      <c r="B26"/>
      <c r="C26"/>
      <c r="D26"/>
      <c r="E26"/>
      <c r="F26"/>
      <c r="G26"/>
      <c r="H26"/>
      <c r="I26"/>
      <c r="J26"/>
      <c r="K26"/>
      <c r="L26"/>
      <c r="M26"/>
      <c r="N26"/>
      <c r="O26"/>
      <c r="P26"/>
      <c r="Q26"/>
      <c r="R26"/>
      <c r="S26"/>
      <c r="T26"/>
      <c r="U26"/>
      <c r="V26"/>
      <c r="W26"/>
      <c r="X26"/>
      <c r="Y26"/>
      <c r="Z26"/>
      <c r="AA26"/>
      <c r="AB26"/>
      <c r="AC26"/>
      <c r="AD26"/>
      <c r="AE26"/>
      <c r="AF26"/>
      <c r="AG26"/>
      <c r="AH26"/>
      <c r="AI26"/>
      <c r="AJ26"/>
      <c r="AK26"/>
      <c r="AL26"/>
      <c r="AM26"/>
      <c r="AN26"/>
      <c r="AO26"/>
      <c r="AP26"/>
      <c r="AQ26"/>
      <c r="AR26"/>
      <c r="AS26"/>
      <c r="AT26"/>
      <c r="AU26"/>
      <c r="AV26"/>
      <c r="AW26"/>
    </row>
    <row r="27" spans="1:49" ht="13.2" customHeight="1">
      <c r="A27"/>
      <c r="B27"/>
      <c r="C27"/>
      <c r="D27"/>
      <c r="E27"/>
      <c r="F27"/>
      <c r="G27"/>
      <c r="H27"/>
      <c r="I27"/>
      <c r="J27"/>
      <c r="K27"/>
      <c r="L27"/>
      <c r="M27"/>
      <c r="N27"/>
      <c r="O27"/>
      <c r="P27"/>
      <c r="Q27"/>
      <c r="R27"/>
      <c r="S27"/>
      <c r="T27"/>
      <c r="U27"/>
      <c r="V27"/>
      <c r="W27"/>
      <c r="X27"/>
      <c r="Y27"/>
      <c r="Z27"/>
      <c r="AA27"/>
      <c r="AB27"/>
      <c r="AC27"/>
      <c r="AD27"/>
      <c r="AE27"/>
      <c r="AF27"/>
      <c r="AG27"/>
      <c r="AH27"/>
      <c r="AI27"/>
      <c r="AJ27"/>
      <c r="AK27"/>
      <c r="AL27"/>
      <c r="AM27"/>
      <c r="AN27"/>
      <c r="AO27"/>
      <c r="AP27"/>
      <c r="AQ27"/>
      <c r="AR27"/>
      <c r="AS27"/>
      <c r="AT27"/>
      <c r="AU27"/>
      <c r="AV27"/>
      <c r="AW27"/>
    </row>
    <row r="28" spans="1:49" ht="13.2" customHeight="1">
      <c r="A28"/>
      <c r="B28"/>
      <c r="C28"/>
      <c r="D28"/>
      <c r="E28"/>
      <c r="F28"/>
      <c r="G28"/>
      <c r="H28"/>
      <c r="I28"/>
      <c r="J28"/>
      <c r="K28"/>
      <c r="L28"/>
      <c r="M28"/>
      <c r="N28"/>
      <c r="O28"/>
      <c r="P28"/>
      <c r="Q28"/>
      <c r="R28"/>
      <c r="S28"/>
      <c r="T28"/>
      <c r="U28"/>
      <c r="V28"/>
      <c r="W28"/>
      <c r="X28"/>
      <c r="Y28"/>
      <c r="Z28"/>
      <c r="AA28"/>
      <c r="AB28"/>
      <c r="AC28"/>
      <c r="AD28"/>
      <c r="AE28"/>
      <c r="AF28"/>
      <c r="AG28"/>
      <c r="AH28"/>
      <c r="AI28"/>
      <c r="AJ28"/>
      <c r="AK28"/>
      <c r="AL28"/>
      <c r="AM28"/>
      <c r="AN28"/>
      <c r="AO28"/>
      <c r="AP28"/>
      <c r="AQ28"/>
      <c r="AR28"/>
      <c r="AS28"/>
      <c r="AT28"/>
      <c r="AU28"/>
      <c r="AV28"/>
      <c r="AW28"/>
    </row>
    <row r="29" spans="1:49" ht="13.2" customHeight="1">
      <c r="A29"/>
      <c r="B29"/>
      <c r="C29"/>
      <c r="D29"/>
      <c r="E29"/>
      <c r="F29"/>
      <c r="G29"/>
      <c r="H29"/>
      <c r="I29"/>
      <c r="J29"/>
      <c r="K29"/>
      <c r="L29"/>
      <c r="M29"/>
      <c r="N29"/>
      <c r="O29"/>
      <c r="P29"/>
      <c r="Q29"/>
      <c r="R29"/>
      <c r="S29"/>
      <c r="T29"/>
      <c r="U29"/>
      <c r="V29"/>
      <c r="W29"/>
      <c r="X29"/>
      <c r="Y29"/>
      <c r="Z29"/>
      <c r="AA29"/>
      <c r="AB29"/>
      <c r="AC29"/>
      <c r="AD29"/>
      <c r="AE29"/>
      <c r="AF29"/>
      <c r="AG29"/>
      <c r="AH29"/>
      <c r="AI29"/>
      <c r="AJ29"/>
      <c r="AK29"/>
      <c r="AL29"/>
      <c r="AM29"/>
      <c r="AN29"/>
      <c r="AO29"/>
      <c r="AP29"/>
      <c r="AQ29"/>
      <c r="AR29"/>
      <c r="AS29"/>
      <c r="AT29"/>
      <c r="AU29"/>
      <c r="AV29"/>
      <c r="AW29"/>
    </row>
    <row r="30" spans="1:49" ht="13.2" customHeight="1">
      <c r="A30"/>
      <c r="B30"/>
      <c r="C30"/>
      <c r="D30"/>
      <c r="E30"/>
      <c r="F30"/>
      <c r="G30"/>
      <c r="H30"/>
      <c r="I30"/>
      <c r="J30"/>
      <c r="K30"/>
      <c r="L30"/>
      <c r="M30"/>
      <c r="N30"/>
      <c r="O30"/>
      <c r="P30"/>
      <c r="Q30"/>
      <c r="R30"/>
      <c r="S30"/>
      <c r="T30"/>
      <c r="U30"/>
      <c r="V30"/>
      <c r="W30"/>
      <c r="X30"/>
      <c r="Y30"/>
      <c r="Z30"/>
      <c r="AA30"/>
      <c r="AB30"/>
      <c r="AC30"/>
      <c r="AD30"/>
      <c r="AE30"/>
      <c r="AF30"/>
      <c r="AG30"/>
      <c r="AH30"/>
      <c r="AI30"/>
      <c r="AJ30"/>
      <c r="AK30"/>
      <c r="AL30"/>
      <c r="AM30"/>
      <c r="AN30"/>
      <c r="AO30"/>
      <c r="AP30"/>
      <c r="AQ30"/>
      <c r="AR30"/>
      <c r="AS30"/>
      <c r="AT30"/>
      <c r="AU30"/>
      <c r="AV30"/>
      <c r="AW30"/>
    </row>
    <row r="31" spans="1:49" ht="13.2" customHeight="1">
      <c r="A31"/>
      <c r="B31"/>
      <c r="C31"/>
      <c r="D31"/>
      <c r="E31"/>
      <c r="F31"/>
      <c r="G31"/>
      <c r="H31"/>
      <c r="I31"/>
      <c r="J31"/>
      <c r="K31"/>
      <c r="L31"/>
      <c r="M31"/>
      <c r="N31"/>
      <c r="O31"/>
      <c r="P31"/>
      <c r="Q31"/>
      <c r="R31"/>
      <c r="S31"/>
      <c r="T31"/>
      <c r="U31"/>
      <c r="V31"/>
      <c r="W31"/>
      <c r="X31"/>
      <c r="Y31"/>
      <c r="Z31"/>
      <c r="AA31"/>
      <c r="AB31"/>
      <c r="AC31"/>
      <c r="AD31"/>
      <c r="AE31"/>
      <c r="AF31"/>
      <c r="AG31"/>
      <c r="AH31"/>
      <c r="AI31"/>
      <c r="AJ31"/>
      <c r="AK31"/>
      <c r="AL31"/>
      <c r="AM31"/>
      <c r="AN31"/>
      <c r="AO31"/>
      <c r="AP31"/>
      <c r="AQ31"/>
      <c r="AR31"/>
      <c r="AS31"/>
      <c r="AT31"/>
      <c r="AU31"/>
      <c r="AV31"/>
      <c r="AW31"/>
    </row>
    <row r="32" spans="1:49">
      <c r="A32"/>
      <c r="B32"/>
      <c r="C32"/>
      <c r="D32"/>
      <c r="E32"/>
      <c r="F32"/>
      <c r="G32"/>
      <c r="H32"/>
      <c r="I32"/>
      <c r="J32"/>
      <c r="K32"/>
      <c r="L32"/>
      <c r="M32"/>
      <c r="N32"/>
      <c r="O32"/>
      <c r="P32"/>
      <c r="Q32"/>
      <c r="R32"/>
      <c r="S32"/>
      <c r="T32"/>
      <c r="U32"/>
      <c r="V32"/>
      <c r="W32"/>
      <c r="X32"/>
      <c r="Y32"/>
      <c r="Z32"/>
      <c r="AA32"/>
      <c r="AB32"/>
      <c r="AC32"/>
      <c r="AD32"/>
      <c r="AE32"/>
      <c r="AF32"/>
      <c r="AG32"/>
      <c r="AH32"/>
      <c r="AI32"/>
      <c r="AJ32"/>
      <c r="AK32"/>
      <c r="AL32"/>
      <c r="AM32"/>
      <c r="AN32"/>
      <c r="AO32"/>
      <c r="AP32"/>
      <c r="AQ32"/>
      <c r="AR32"/>
      <c r="AS32"/>
      <c r="AT32"/>
      <c r="AU32"/>
      <c r="AV32"/>
      <c r="AW32"/>
    </row>
    <row r="33" spans="1:49">
      <c r="A33"/>
      <c r="B33"/>
      <c r="C33"/>
      <c r="D33"/>
      <c r="E33"/>
      <c r="F33"/>
      <c r="G33"/>
      <c r="H33"/>
      <c r="I33"/>
      <c r="J33"/>
      <c r="K33"/>
      <c r="L33"/>
      <c r="M33"/>
      <c r="N33"/>
      <c r="O33"/>
      <c r="P33"/>
      <c r="Q33"/>
      <c r="R33"/>
      <c r="S33"/>
      <c r="T33"/>
      <c r="U33"/>
      <c r="V33"/>
      <c r="W33"/>
      <c r="X33"/>
      <c r="Y33"/>
      <c r="Z33"/>
      <c r="AA33"/>
      <c r="AB33"/>
      <c r="AC33"/>
      <c r="AD33"/>
      <c r="AE33"/>
      <c r="AF33"/>
      <c r="AG33"/>
      <c r="AH33"/>
      <c r="AI33"/>
      <c r="AJ33"/>
      <c r="AK33"/>
      <c r="AL33"/>
      <c r="AM33"/>
      <c r="AN33"/>
      <c r="AO33"/>
      <c r="AP33"/>
      <c r="AQ33"/>
      <c r="AR33"/>
      <c r="AS33"/>
      <c r="AT33"/>
      <c r="AU33"/>
      <c r="AV33"/>
      <c r="AW33"/>
    </row>
    <row r="34" spans="1:49">
      <c r="A34"/>
      <c r="B34"/>
      <c r="C34"/>
      <c r="D34"/>
      <c r="E34"/>
      <c r="F34"/>
      <c r="G34"/>
      <c r="H34"/>
      <c r="I34"/>
      <c r="J34"/>
      <c r="K34"/>
      <c r="L34"/>
      <c r="M34"/>
      <c r="N34"/>
      <c r="O34"/>
      <c r="P34"/>
      <c r="Q34"/>
      <c r="R34"/>
      <c r="S34"/>
      <c r="T34"/>
      <c r="U34"/>
      <c r="V34"/>
      <c r="W34"/>
      <c r="X34"/>
      <c r="Y34"/>
      <c r="Z34"/>
      <c r="AA34"/>
      <c r="AB34"/>
      <c r="AC34"/>
      <c r="AD34"/>
      <c r="AE34"/>
      <c r="AF34"/>
      <c r="AG34"/>
      <c r="AH34"/>
      <c r="AI34"/>
      <c r="AJ34"/>
      <c r="AK34"/>
      <c r="AL34"/>
      <c r="AM34"/>
      <c r="AN34"/>
      <c r="AO34"/>
      <c r="AP34"/>
      <c r="AQ34"/>
      <c r="AR34"/>
      <c r="AS34"/>
      <c r="AT34"/>
      <c r="AU34"/>
      <c r="AV34"/>
      <c r="AW34"/>
    </row>
    <row r="35" spans="1:49">
      <c r="A35"/>
      <c r="B35"/>
      <c r="C35"/>
      <c r="D35"/>
      <c r="E35"/>
      <c r="F35"/>
      <c r="G35"/>
      <c r="H35"/>
      <c r="I35"/>
      <c r="J35"/>
      <c r="K35"/>
      <c r="L35"/>
      <c r="M35"/>
      <c r="N35"/>
      <c r="O35"/>
      <c r="P35"/>
      <c r="Q35"/>
      <c r="R35"/>
      <c r="S35"/>
      <c r="T35"/>
      <c r="U35"/>
      <c r="V35"/>
      <c r="W35"/>
      <c r="X35"/>
      <c r="Y35"/>
      <c r="Z35"/>
      <c r="AA35"/>
      <c r="AB35"/>
      <c r="AC35"/>
      <c r="AD35"/>
      <c r="AE35"/>
      <c r="AF35"/>
      <c r="AG35"/>
      <c r="AH35"/>
      <c r="AI35"/>
      <c r="AJ35"/>
      <c r="AK35"/>
      <c r="AL35"/>
      <c r="AM35"/>
      <c r="AN35"/>
      <c r="AO35"/>
      <c r="AP35"/>
      <c r="AQ35"/>
      <c r="AR35"/>
      <c r="AS35"/>
      <c r="AT35"/>
      <c r="AU35"/>
      <c r="AV35"/>
      <c r="AW35"/>
    </row>
    <row r="36" spans="1:49">
      <c r="A36"/>
      <c r="B36"/>
      <c r="C36"/>
      <c r="D36"/>
      <c r="E36"/>
      <c r="F36"/>
      <c r="G36"/>
      <c r="H36"/>
      <c r="I36"/>
      <c r="J36"/>
      <c r="K36"/>
      <c r="L36"/>
      <c r="M36"/>
      <c r="N36"/>
      <c r="O36"/>
      <c r="P36"/>
      <c r="Q36"/>
      <c r="R36"/>
      <c r="S36"/>
      <c r="T36"/>
      <c r="U36"/>
      <c r="V36"/>
      <c r="W36"/>
      <c r="X36"/>
      <c r="Y36"/>
      <c r="Z36"/>
      <c r="AA36"/>
      <c r="AB36"/>
      <c r="AC36"/>
      <c r="AD36"/>
      <c r="AE36"/>
      <c r="AF36"/>
      <c r="AG36"/>
      <c r="AH36"/>
      <c r="AI36"/>
      <c r="AJ36"/>
      <c r="AK36"/>
      <c r="AL36"/>
      <c r="AM36"/>
      <c r="AN36"/>
      <c r="AO36"/>
      <c r="AP36"/>
      <c r="AQ36"/>
      <c r="AR36"/>
      <c r="AS36"/>
      <c r="AT36"/>
      <c r="AU36"/>
      <c r="AV36"/>
      <c r="AW36"/>
    </row>
    <row r="37" spans="1:49">
      <c r="A37"/>
      <c r="B37"/>
      <c r="C37"/>
      <c r="D37"/>
      <c r="E37"/>
      <c r="F37"/>
      <c r="G37"/>
      <c r="H37"/>
      <c r="I37"/>
      <c r="J37"/>
      <c r="K37"/>
      <c r="L37"/>
      <c r="M37"/>
      <c r="N37"/>
      <c r="O37"/>
      <c r="P37"/>
      <c r="Q37"/>
      <c r="R37"/>
      <c r="S37"/>
      <c r="T37"/>
      <c r="U37"/>
      <c r="V37"/>
      <c r="W37"/>
      <c r="X37"/>
      <c r="Y37"/>
      <c r="Z37"/>
      <c r="AA37"/>
      <c r="AB37"/>
      <c r="AC37"/>
      <c r="AD37"/>
      <c r="AE37"/>
      <c r="AF37"/>
      <c r="AG37"/>
      <c r="AH37"/>
      <c r="AI37"/>
      <c r="AJ37"/>
      <c r="AK37"/>
      <c r="AL37"/>
      <c r="AM37"/>
      <c r="AN37"/>
      <c r="AO37"/>
      <c r="AP37"/>
      <c r="AQ37"/>
      <c r="AR37"/>
      <c r="AS37"/>
      <c r="AT37"/>
      <c r="AU37"/>
      <c r="AV37"/>
      <c r="AW37"/>
    </row>
    <row r="38" spans="1:49">
      <c r="A38"/>
      <c r="B38"/>
      <c r="C38"/>
      <c r="D38"/>
      <c r="E38"/>
      <c r="F38"/>
      <c r="G38"/>
      <c r="H38"/>
      <c r="I38"/>
      <c r="J38"/>
      <c r="K38"/>
      <c r="L38"/>
      <c r="M38"/>
      <c r="N38"/>
      <c r="O38"/>
      <c r="P38"/>
      <c r="Q38"/>
      <c r="R38"/>
      <c r="S38"/>
      <c r="T38"/>
      <c r="U38"/>
      <c r="V38"/>
      <c r="W38"/>
      <c r="X38"/>
      <c r="Y38"/>
      <c r="Z38"/>
      <c r="AA38"/>
      <c r="AB38"/>
      <c r="AC38"/>
      <c r="AD38"/>
      <c r="AE38"/>
      <c r="AF38"/>
      <c r="AG38"/>
      <c r="AH38"/>
      <c r="AI38"/>
      <c r="AJ38"/>
      <c r="AK38"/>
      <c r="AL38"/>
      <c r="AM38"/>
      <c r="AN38"/>
      <c r="AO38"/>
      <c r="AP38"/>
      <c r="AQ38"/>
      <c r="AR38"/>
      <c r="AS38"/>
      <c r="AT38"/>
      <c r="AU38"/>
      <c r="AV38"/>
      <c r="AW38"/>
    </row>
    <row r="39" spans="1:49">
      <c r="A39"/>
      <c r="B39"/>
      <c r="C39"/>
      <c r="D39"/>
      <c r="E39"/>
      <c r="F39"/>
      <c r="G39"/>
      <c r="H39"/>
      <c r="I39"/>
      <c r="J39"/>
      <c r="K39"/>
      <c r="L39"/>
      <c r="M39"/>
      <c r="N39"/>
      <c r="O39"/>
      <c r="P39"/>
      <c r="Q39"/>
      <c r="R39"/>
      <c r="S39"/>
      <c r="T39"/>
      <c r="U39"/>
      <c r="V39"/>
      <c r="W39"/>
      <c r="X39"/>
      <c r="Y39"/>
      <c r="Z39"/>
      <c r="AA39"/>
      <c r="AB39"/>
      <c r="AC39"/>
      <c r="AD39"/>
      <c r="AE39"/>
      <c r="AF39"/>
      <c r="AG39"/>
      <c r="AH39"/>
      <c r="AI39"/>
      <c r="AJ39"/>
      <c r="AK39"/>
      <c r="AL39"/>
      <c r="AM39"/>
      <c r="AN39"/>
      <c r="AO39"/>
      <c r="AP39"/>
      <c r="AQ39"/>
      <c r="AR39"/>
      <c r="AS39"/>
      <c r="AT39"/>
      <c r="AU39"/>
      <c r="AV39"/>
      <c r="AW39"/>
    </row>
    <row r="40" spans="1:49">
      <c r="A40"/>
      <c r="B40"/>
      <c r="C40"/>
      <c r="D40"/>
      <c r="E40"/>
      <c r="F40"/>
      <c r="G40"/>
      <c r="H40"/>
      <c r="I40"/>
      <c r="J40"/>
      <c r="K40"/>
      <c r="L40"/>
      <c r="M40"/>
      <c r="N40"/>
      <c r="O40"/>
      <c r="P40"/>
      <c r="Q40"/>
      <c r="R40"/>
      <c r="S40"/>
      <c r="T40"/>
      <c r="U40"/>
      <c r="V40"/>
      <c r="W40"/>
      <c r="X40"/>
      <c r="Y40"/>
      <c r="Z40"/>
      <c r="AA40"/>
      <c r="AB40"/>
      <c r="AC40"/>
      <c r="AD40"/>
      <c r="AE40"/>
      <c r="AF40"/>
      <c r="AG40"/>
      <c r="AH40"/>
      <c r="AI40"/>
      <c r="AJ40"/>
      <c r="AK40"/>
      <c r="AL40"/>
      <c r="AM40"/>
      <c r="AN40"/>
      <c r="AO40"/>
      <c r="AP40"/>
      <c r="AQ40"/>
      <c r="AR40"/>
      <c r="AS40"/>
      <c r="AT40"/>
      <c r="AU40"/>
      <c r="AV40"/>
      <c r="AW40"/>
    </row>
    <row r="41" spans="1:49">
      <c r="A41"/>
      <c r="B41"/>
      <c r="C41"/>
      <c r="D41"/>
      <c r="E41"/>
      <c r="F41"/>
      <c r="G41"/>
      <c r="H41"/>
      <c r="I41"/>
      <c r="J41"/>
      <c r="K41"/>
      <c r="L41"/>
      <c r="M41"/>
      <c r="N41"/>
      <c r="O41"/>
      <c r="P41"/>
      <c r="Q41"/>
      <c r="R41"/>
      <c r="S41"/>
      <c r="T41"/>
      <c r="U41"/>
      <c r="V41"/>
      <c r="W41"/>
      <c r="X41"/>
      <c r="Y41"/>
      <c r="Z41"/>
      <c r="AA41"/>
      <c r="AB41"/>
      <c r="AC41"/>
      <c r="AD41"/>
      <c r="AE41"/>
      <c r="AF41"/>
      <c r="AG41"/>
      <c r="AH41"/>
      <c r="AI41"/>
      <c r="AJ41"/>
      <c r="AK41"/>
      <c r="AL41"/>
      <c r="AM41"/>
      <c r="AN41"/>
      <c r="AO41"/>
      <c r="AP41"/>
      <c r="AQ41"/>
      <c r="AR41"/>
      <c r="AS41"/>
      <c r="AT41"/>
      <c r="AU41"/>
      <c r="AV41"/>
      <c r="AW41"/>
    </row>
    <row r="42" spans="1:49">
      <c r="A42"/>
      <c r="B42"/>
      <c r="C42"/>
      <c r="D42"/>
      <c r="E42"/>
      <c r="F42"/>
      <c r="G42"/>
      <c r="H42"/>
      <c r="I42"/>
      <c r="J42"/>
      <c r="K42"/>
      <c r="L42"/>
      <c r="M42"/>
      <c r="N42"/>
      <c r="O42"/>
      <c r="P42"/>
      <c r="Q42"/>
      <c r="R42"/>
      <c r="S42"/>
      <c r="T42"/>
      <c r="U42"/>
      <c r="V42"/>
      <c r="W42"/>
      <c r="X42"/>
      <c r="Y42"/>
      <c r="Z42"/>
      <c r="AA42"/>
      <c r="AB42"/>
      <c r="AC42"/>
      <c r="AD42"/>
      <c r="AE42"/>
      <c r="AF42"/>
      <c r="AG42"/>
      <c r="AH42"/>
      <c r="AI42"/>
      <c r="AJ42"/>
      <c r="AK42"/>
      <c r="AL42"/>
      <c r="AM42"/>
      <c r="AN42"/>
      <c r="AO42"/>
      <c r="AP42"/>
      <c r="AQ42"/>
      <c r="AR42"/>
      <c r="AS42"/>
      <c r="AT42"/>
      <c r="AU42"/>
      <c r="AV42"/>
      <c r="AW42"/>
    </row>
    <row r="43" spans="1:49">
      <c r="A43"/>
      <c r="B43"/>
      <c r="C43"/>
      <c r="D43"/>
      <c r="E43"/>
      <c r="F43"/>
      <c r="G43"/>
      <c r="H43"/>
      <c r="I43"/>
      <c r="J43"/>
      <c r="K43"/>
      <c r="L43"/>
      <c r="M43"/>
      <c r="N43"/>
      <c r="O43"/>
      <c r="P43"/>
      <c r="Q43"/>
      <c r="R43"/>
      <c r="S43"/>
      <c r="T43"/>
      <c r="U43"/>
      <c r="V43"/>
      <c r="W43"/>
      <c r="X43"/>
      <c r="Y43"/>
      <c r="Z43"/>
      <c r="AA43"/>
      <c r="AB43"/>
      <c r="AC43"/>
      <c r="AD43"/>
      <c r="AE43"/>
      <c r="AF43"/>
      <c r="AG43"/>
      <c r="AH43"/>
      <c r="AI43"/>
      <c r="AJ43"/>
      <c r="AK43"/>
      <c r="AL43"/>
      <c r="AM43"/>
      <c r="AN43"/>
      <c r="AO43"/>
      <c r="AP43"/>
      <c r="AQ43"/>
      <c r="AR43"/>
      <c r="AS43"/>
      <c r="AT43"/>
      <c r="AU43"/>
      <c r="AV43"/>
      <c r="AW43"/>
    </row>
    <row r="44" spans="1:49">
      <c r="A44"/>
      <c r="B44"/>
      <c r="C44"/>
      <c r="D44"/>
      <c r="E44"/>
      <c r="F44"/>
      <c r="G44"/>
      <c r="H44"/>
      <c r="I44"/>
      <c r="J44"/>
      <c r="K44"/>
      <c r="L44"/>
      <c r="M44"/>
      <c r="N44"/>
      <c r="O44"/>
      <c r="P44"/>
      <c r="Q44"/>
      <c r="R44"/>
      <c r="S44"/>
      <c r="T44"/>
      <c r="U44"/>
      <c r="V44"/>
      <c r="W44"/>
      <c r="X44"/>
      <c r="Y44"/>
      <c r="Z44"/>
      <c r="AA44"/>
      <c r="AB44"/>
      <c r="AC44"/>
      <c r="AD44"/>
      <c r="AE44"/>
      <c r="AF44"/>
      <c r="AG44"/>
      <c r="AH44"/>
      <c r="AI44"/>
      <c r="AJ44"/>
      <c r="AK44"/>
      <c r="AL44"/>
      <c r="AM44"/>
      <c r="AN44"/>
      <c r="AO44"/>
      <c r="AP44"/>
      <c r="AQ44"/>
      <c r="AR44"/>
      <c r="AS44"/>
      <c r="AT44"/>
      <c r="AU44"/>
      <c r="AV44"/>
      <c r="AW44"/>
    </row>
    <row r="45" spans="1:49">
      <c r="A45"/>
      <c r="B45"/>
      <c r="C45"/>
      <c r="D45"/>
      <c r="E45"/>
      <c r="F45"/>
      <c r="G45"/>
      <c r="H45"/>
      <c r="I45"/>
      <c r="J45"/>
      <c r="K45"/>
      <c r="L45"/>
      <c r="M45"/>
      <c r="N45"/>
      <c r="O45"/>
      <c r="P45"/>
      <c r="Q45"/>
      <c r="R45"/>
      <c r="S45"/>
      <c r="T45"/>
      <c r="U45"/>
      <c r="V45"/>
      <c r="W45"/>
      <c r="X45"/>
      <c r="Y45"/>
      <c r="Z45"/>
      <c r="AA45"/>
      <c r="AB45"/>
      <c r="AC45"/>
      <c r="AD45"/>
      <c r="AE45"/>
      <c r="AF45"/>
      <c r="AG45"/>
      <c r="AH45"/>
      <c r="AI45"/>
      <c r="AJ45"/>
      <c r="AK45"/>
      <c r="AL45"/>
      <c r="AM45"/>
      <c r="AN45"/>
      <c r="AO45"/>
      <c r="AP45"/>
      <c r="AQ45"/>
      <c r="AR45"/>
      <c r="AS45"/>
      <c r="AT45"/>
      <c r="AU45"/>
      <c r="AV45"/>
      <c r="AW45"/>
    </row>
    <row r="46" spans="1:49">
      <c r="A46"/>
      <c r="B46"/>
      <c r="C46"/>
      <c r="D46"/>
      <c r="E46"/>
      <c r="F46"/>
      <c r="G46"/>
      <c r="H46"/>
      <c r="I46"/>
      <c r="J46"/>
      <c r="K46"/>
      <c r="L46"/>
      <c r="M46"/>
      <c r="N46"/>
      <c r="O46"/>
      <c r="P46"/>
      <c r="Q46"/>
      <c r="R46"/>
      <c r="S46"/>
      <c r="T46"/>
      <c r="U46"/>
      <c r="V46"/>
      <c r="W46"/>
      <c r="X46"/>
      <c r="Y46"/>
      <c r="Z46"/>
      <c r="AA46"/>
      <c r="AB46"/>
      <c r="AC46"/>
      <c r="AD46"/>
      <c r="AE46"/>
      <c r="AF46"/>
      <c r="AG46"/>
      <c r="AH46"/>
      <c r="AI46"/>
      <c r="AJ46"/>
      <c r="AK46"/>
      <c r="AL46"/>
      <c r="AM46"/>
      <c r="AN46"/>
      <c r="AO46"/>
      <c r="AP46"/>
      <c r="AQ46"/>
      <c r="AR46"/>
      <c r="AS46"/>
      <c r="AT46"/>
      <c r="AU46"/>
      <c r="AV46"/>
      <c r="AW46"/>
    </row>
    <row r="47" spans="1:49">
      <c r="A47"/>
      <c r="B47"/>
      <c r="C47"/>
      <c r="D47"/>
      <c r="E47"/>
      <c r="F47"/>
      <c r="G47"/>
      <c r="H47"/>
      <c r="I47"/>
      <c r="J47"/>
      <c r="K47"/>
      <c r="L47"/>
      <c r="M47"/>
      <c r="N47"/>
      <c r="O47"/>
      <c r="P47"/>
      <c r="Q47"/>
      <c r="R47"/>
      <c r="S47"/>
      <c r="T47"/>
      <c r="U47"/>
      <c r="V47"/>
      <c r="W47"/>
      <c r="X47"/>
      <c r="Y47"/>
      <c r="Z47"/>
      <c r="AA47"/>
      <c r="AB47"/>
      <c r="AC47"/>
      <c r="AD47"/>
      <c r="AE47"/>
      <c r="AF47"/>
      <c r="AG47"/>
      <c r="AH47"/>
      <c r="AI47"/>
      <c r="AJ47"/>
      <c r="AK47"/>
      <c r="AL47"/>
      <c r="AM47"/>
      <c r="AN47"/>
      <c r="AO47"/>
      <c r="AP47"/>
      <c r="AQ47"/>
      <c r="AR47"/>
      <c r="AS47"/>
      <c r="AT47"/>
      <c r="AU47"/>
      <c r="AV47"/>
      <c r="AW47"/>
    </row>
    <row r="48" spans="1:49">
      <c r="A48"/>
      <c r="B48"/>
      <c r="C48"/>
      <c r="D48"/>
      <c r="E48"/>
      <c r="F48"/>
      <c r="G48"/>
      <c r="H48"/>
      <c r="I48"/>
      <c r="J48"/>
      <c r="K48"/>
      <c r="L48"/>
      <c r="M48"/>
      <c r="N48"/>
      <c r="O48"/>
      <c r="P48"/>
      <c r="Q48"/>
      <c r="R48"/>
      <c r="S48"/>
      <c r="T48"/>
      <c r="U48"/>
      <c r="V48"/>
      <c r="W48"/>
      <c r="X48"/>
      <c r="Y48"/>
      <c r="Z48"/>
      <c r="AA48"/>
      <c r="AB48"/>
      <c r="AC48"/>
      <c r="AD48"/>
      <c r="AE48"/>
      <c r="AF48"/>
      <c r="AG48"/>
      <c r="AH48"/>
      <c r="AI48"/>
      <c r="AJ48"/>
      <c r="AK48"/>
      <c r="AL48"/>
      <c r="AM48"/>
      <c r="AN48"/>
      <c r="AO48"/>
      <c r="AP48"/>
      <c r="AQ48"/>
      <c r="AR48"/>
      <c r="AS48"/>
      <c r="AT48"/>
      <c r="AU48"/>
      <c r="AV48"/>
      <c r="AW48"/>
    </row>
    <row r="49" spans="1:49">
      <c r="A49"/>
      <c r="B49"/>
      <c r="C49"/>
      <c r="D49"/>
      <c r="E49"/>
      <c r="F49"/>
      <c r="G49"/>
      <c r="H49"/>
      <c r="I49"/>
      <c r="J49"/>
      <c r="K49"/>
      <c r="L49"/>
      <c r="M49"/>
      <c r="N49"/>
      <c r="O49"/>
      <c r="P49"/>
      <c r="Q49"/>
      <c r="R49"/>
      <c r="S49"/>
      <c r="T49"/>
      <c r="U49"/>
      <c r="V49"/>
      <c r="W49"/>
      <c r="X49"/>
      <c r="Y49"/>
      <c r="Z49"/>
      <c r="AA49"/>
      <c r="AB49"/>
      <c r="AC49"/>
      <c r="AD49"/>
      <c r="AE49"/>
      <c r="AF49"/>
      <c r="AG49"/>
      <c r="AH49"/>
      <c r="AI49"/>
      <c r="AJ49"/>
      <c r="AK49"/>
      <c r="AL49"/>
      <c r="AM49"/>
      <c r="AN49"/>
      <c r="AO49"/>
      <c r="AP49"/>
      <c r="AQ49"/>
      <c r="AR49"/>
      <c r="AS49"/>
      <c r="AT49"/>
      <c r="AU49"/>
      <c r="AV49"/>
      <c r="AW49"/>
    </row>
    <row r="50" spans="1:49">
      <c r="A50"/>
      <c r="B50"/>
      <c r="C50"/>
      <c r="D50"/>
      <c r="E50"/>
      <c r="F50"/>
      <c r="G50"/>
      <c r="H50"/>
      <c r="I50"/>
      <c r="J50"/>
      <c r="K50"/>
      <c r="L50"/>
      <c r="M50"/>
      <c r="N50"/>
      <c r="O50"/>
      <c r="P50"/>
      <c r="Q50"/>
      <c r="R50"/>
      <c r="S50"/>
      <c r="T50"/>
      <c r="U50"/>
      <c r="V50"/>
      <c r="W50"/>
      <c r="X50"/>
      <c r="Y50"/>
      <c r="Z50"/>
      <c r="AA50"/>
      <c r="AB50"/>
      <c r="AC50"/>
      <c r="AD50"/>
      <c r="AE50"/>
      <c r="AF50"/>
      <c r="AG50"/>
      <c r="AH50"/>
      <c r="AI50"/>
      <c r="AJ50"/>
      <c r="AK50"/>
      <c r="AL50"/>
      <c r="AM50"/>
      <c r="AN50"/>
      <c r="AO50"/>
      <c r="AP50"/>
      <c r="AQ50"/>
      <c r="AR50"/>
      <c r="AS50"/>
      <c r="AT50"/>
      <c r="AU50"/>
      <c r="AV50"/>
      <c r="AW50"/>
    </row>
    <row r="51" spans="1:49">
      <c r="A51"/>
      <c r="B51"/>
      <c r="C51"/>
      <c r="D51"/>
      <c r="E51"/>
      <c r="F51"/>
      <c r="G51"/>
      <c r="H51"/>
      <c r="I51"/>
      <c r="J51"/>
      <c r="K51"/>
      <c r="L51"/>
      <c r="M51"/>
      <c r="N51"/>
      <c r="O51"/>
      <c r="P51"/>
      <c r="Q51"/>
      <c r="R51"/>
      <c r="S51"/>
      <c r="T51"/>
      <c r="U51"/>
      <c r="V51"/>
      <c r="W51"/>
      <c r="X51"/>
      <c r="Y51"/>
      <c r="Z51"/>
      <c r="AA51"/>
      <c r="AB51"/>
      <c r="AC51"/>
      <c r="AD51"/>
      <c r="AE51"/>
      <c r="AF51"/>
      <c r="AG51"/>
      <c r="AH51"/>
      <c r="AI51"/>
      <c r="AJ51"/>
      <c r="AK51"/>
      <c r="AL51"/>
      <c r="AM51"/>
      <c r="AN51"/>
      <c r="AO51"/>
      <c r="AP51"/>
      <c r="AQ51"/>
      <c r="AR51"/>
      <c r="AS51"/>
      <c r="AT51"/>
      <c r="AU51"/>
      <c r="AV51"/>
      <c r="AW51"/>
    </row>
    <row r="52" spans="1:49">
      <c r="A52"/>
      <c r="B52"/>
      <c r="C52"/>
      <c r="D52"/>
      <c r="E52"/>
      <c r="F52"/>
      <c r="G52"/>
      <c r="H52"/>
      <c r="I52"/>
      <c r="J52"/>
      <c r="K52"/>
      <c r="L52"/>
      <c r="M52"/>
      <c r="N52"/>
      <c r="O52"/>
      <c r="P52"/>
      <c r="Q52"/>
      <c r="R52"/>
      <c r="S52"/>
      <c r="T52"/>
      <c r="U52"/>
      <c r="V52"/>
      <c r="W52"/>
      <c r="X52"/>
      <c r="Y52"/>
      <c r="Z52"/>
      <c r="AA52"/>
      <c r="AB52"/>
      <c r="AC52"/>
      <c r="AD52"/>
      <c r="AE52"/>
      <c r="AF52"/>
      <c r="AG52"/>
      <c r="AH52"/>
      <c r="AI52"/>
      <c r="AJ52"/>
      <c r="AK52"/>
      <c r="AL52"/>
      <c r="AM52"/>
      <c r="AN52"/>
      <c r="AO52"/>
      <c r="AP52"/>
      <c r="AQ52"/>
      <c r="AR52"/>
      <c r="AS52"/>
      <c r="AT52"/>
      <c r="AU52"/>
      <c r="AV52"/>
      <c r="AW52"/>
    </row>
    <row r="53" spans="1:49">
      <c r="A53"/>
      <c r="B53"/>
      <c r="C53"/>
      <c r="D53"/>
      <c r="E53"/>
      <c r="F53"/>
      <c r="G53"/>
      <c r="H53"/>
      <c r="I53"/>
      <c r="J53"/>
      <c r="K53"/>
      <c r="L53"/>
      <c r="M53"/>
      <c r="N53"/>
      <c r="O53"/>
      <c r="P53"/>
      <c r="Q53"/>
      <c r="R53"/>
      <c r="S53"/>
      <c r="T53"/>
      <c r="U53"/>
      <c r="V53"/>
      <c r="W53"/>
      <c r="X53"/>
      <c r="Y53"/>
      <c r="Z53"/>
      <c r="AA53"/>
      <c r="AB53"/>
      <c r="AC53"/>
      <c r="AD53"/>
      <c r="AE53"/>
      <c r="AF53"/>
      <c r="AG53"/>
      <c r="AH53"/>
      <c r="AI53"/>
      <c r="AJ53"/>
      <c r="AK53"/>
      <c r="AL53"/>
      <c r="AM53"/>
      <c r="AN53"/>
      <c r="AO53"/>
      <c r="AP53"/>
      <c r="AQ53"/>
      <c r="AR53"/>
      <c r="AS53"/>
      <c r="AT53"/>
      <c r="AU53"/>
      <c r="AV53"/>
      <c r="AW53"/>
    </row>
    <row r="54" spans="1:49">
      <c r="A54"/>
      <c r="B54"/>
      <c r="C54"/>
      <c r="D54"/>
      <c r="E54"/>
      <c r="F54"/>
      <c r="G54"/>
      <c r="H54"/>
      <c r="I54"/>
      <c r="J54"/>
      <c r="K54"/>
      <c r="L54"/>
      <c r="M54"/>
      <c r="N54"/>
      <c r="O54"/>
      <c r="P54"/>
      <c r="Q54"/>
      <c r="R54"/>
      <c r="S54"/>
      <c r="T54"/>
      <c r="U54"/>
      <c r="V54"/>
      <c r="W54"/>
      <c r="X54"/>
      <c r="Y54"/>
      <c r="Z54"/>
      <c r="AA54"/>
      <c r="AB54"/>
      <c r="AC54"/>
      <c r="AD54"/>
      <c r="AE54"/>
      <c r="AF54"/>
      <c r="AG54"/>
      <c r="AH54"/>
      <c r="AI54"/>
      <c r="AJ54"/>
      <c r="AK54"/>
      <c r="AL54"/>
      <c r="AM54"/>
      <c r="AN54"/>
      <c r="AO54"/>
      <c r="AP54"/>
      <c r="AQ54"/>
      <c r="AR54"/>
      <c r="AS54"/>
      <c r="AT54"/>
      <c r="AU54"/>
      <c r="AV54"/>
      <c r="AW54"/>
    </row>
    <row r="55" spans="1:49">
      <c r="A55"/>
      <c r="B55"/>
      <c r="C55"/>
      <c r="D55"/>
      <c r="E55"/>
      <c r="F55"/>
      <c r="G55"/>
      <c r="H55"/>
      <c r="I55"/>
      <c r="J55"/>
      <c r="K55"/>
      <c r="L55"/>
      <c r="M55"/>
      <c r="N55"/>
      <c r="O55"/>
      <c r="P55"/>
      <c r="Q55"/>
      <c r="R55"/>
      <c r="S55"/>
      <c r="T55"/>
      <c r="U55"/>
      <c r="V55"/>
      <c r="W55"/>
      <c r="X55"/>
      <c r="Y55"/>
      <c r="Z55"/>
      <c r="AA55"/>
      <c r="AB55"/>
      <c r="AC55"/>
      <c r="AD55"/>
      <c r="AE55"/>
      <c r="AF55"/>
      <c r="AG55"/>
      <c r="AH55"/>
      <c r="AI55"/>
      <c r="AJ55"/>
      <c r="AK55"/>
      <c r="AL55"/>
      <c r="AM55"/>
      <c r="AN55"/>
      <c r="AO55"/>
      <c r="AP55"/>
      <c r="AQ55"/>
      <c r="AR55"/>
      <c r="AS55"/>
      <c r="AT55"/>
      <c r="AU55"/>
      <c r="AV55"/>
      <c r="AW55"/>
    </row>
    <row r="56" spans="1:49">
      <c r="A56"/>
      <c r="B56"/>
      <c r="C56"/>
      <c r="D56"/>
      <c r="E56"/>
      <c r="F56"/>
      <c r="G56"/>
      <c r="H56"/>
      <c r="I56"/>
      <c r="J56"/>
      <c r="K56"/>
      <c r="L56"/>
      <c r="M56"/>
      <c r="N56"/>
      <c r="O56"/>
      <c r="P56"/>
      <c r="Q56"/>
      <c r="R56"/>
      <c r="S56"/>
      <c r="T56"/>
      <c r="U56"/>
      <c r="V56"/>
      <c r="W56"/>
      <c r="X56"/>
      <c r="Y56"/>
      <c r="Z56"/>
      <c r="AA56"/>
      <c r="AB56"/>
      <c r="AC56"/>
      <c r="AD56"/>
      <c r="AE56"/>
      <c r="AF56"/>
      <c r="AG56"/>
      <c r="AH56"/>
      <c r="AI56"/>
      <c r="AJ56"/>
      <c r="AK56"/>
      <c r="AL56"/>
      <c r="AM56"/>
      <c r="AN56"/>
      <c r="AO56"/>
      <c r="AP56"/>
      <c r="AQ56"/>
      <c r="AR56"/>
      <c r="AS56"/>
      <c r="AT56"/>
      <c r="AU56"/>
      <c r="AV56"/>
      <c r="AW56"/>
    </row>
    <row r="57" spans="1:49">
      <c r="A57"/>
      <c r="B57"/>
      <c r="C57"/>
      <c r="D57"/>
      <c r="E57"/>
      <c r="F57"/>
      <c r="G57"/>
      <c r="H57"/>
      <c r="I57"/>
      <c r="J57"/>
      <c r="K57"/>
      <c r="L57"/>
      <c r="M57"/>
      <c r="N57"/>
      <c r="O57"/>
      <c r="P57"/>
      <c r="Q57"/>
      <c r="R57"/>
      <c r="S57"/>
      <c r="T57"/>
      <c r="U57"/>
      <c r="V57"/>
      <c r="W57"/>
      <c r="X57"/>
      <c r="Y57"/>
      <c r="Z57"/>
      <c r="AA57"/>
      <c r="AB57"/>
      <c r="AC57"/>
      <c r="AD57"/>
      <c r="AE57"/>
      <c r="AF57"/>
      <c r="AG57"/>
      <c r="AH57"/>
      <c r="AI57"/>
      <c r="AJ57"/>
      <c r="AK57"/>
      <c r="AL57"/>
      <c r="AM57"/>
      <c r="AN57"/>
      <c r="AO57"/>
      <c r="AP57"/>
      <c r="AQ57"/>
      <c r="AR57"/>
      <c r="AS57"/>
      <c r="AT57"/>
      <c r="AU57"/>
      <c r="AV57"/>
      <c r="AW57"/>
    </row>
    <row r="58" spans="1:49">
      <c r="A58"/>
      <c r="B58"/>
      <c r="C58"/>
      <c r="D58"/>
      <c r="E58"/>
      <c r="F58"/>
      <c r="G58"/>
      <c r="H58"/>
      <c r="I58"/>
      <c r="J58"/>
      <c r="K58"/>
      <c r="L58"/>
      <c r="M58"/>
      <c r="N58"/>
      <c r="O58"/>
      <c r="P58"/>
      <c r="Q58"/>
      <c r="R58"/>
      <c r="S58"/>
      <c r="T58"/>
      <c r="U58"/>
      <c r="V58"/>
      <c r="W58"/>
      <c r="X58"/>
      <c r="Y58"/>
      <c r="Z58"/>
      <c r="AA58"/>
      <c r="AB58"/>
      <c r="AC58"/>
      <c r="AD58"/>
      <c r="AE58"/>
      <c r="AF58"/>
      <c r="AG58"/>
      <c r="AH58"/>
      <c r="AI58"/>
      <c r="AJ58"/>
      <c r="AK58"/>
      <c r="AL58"/>
      <c r="AM58"/>
      <c r="AN58"/>
      <c r="AO58"/>
      <c r="AP58"/>
      <c r="AQ58"/>
      <c r="AR58"/>
      <c r="AS58"/>
      <c r="AT58"/>
      <c r="AU58"/>
      <c r="AV58"/>
      <c r="AW58"/>
    </row>
    <row r="59" spans="1:49">
      <c r="A59"/>
      <c r="B59"/>
      <c r="C59"/>
      <c r="D59"/>
      <c r="E59"/>
      <c r="F59"/>
      <c r="G59"/>
      <c r="H59"/>
      <c r="I59"/>
      <c r="J59"/>
      <c r="K59"/>
      <c r="L59"/>
      <c r="M59"/>
      <c r="N59"/>
      <c r="O59"/>
      <c r="P59"/>
      <c r="Q59"/>
      <c r="R59"/>
      <c r="S59"/>
      <c r="T59"/>
      <c r="U59"/>
      <c r="V59"/>
      <c r="W59"/>
      <c r="X59"/>
      <c r="Y59"/>
      <c r="Z59"/>
      <c r="AA59"/>
      <c r="AB59"/>
      <c r="AC59"/>
      <c r="AD59"/>
      <c r="AE59"/>
      <c r="AF59"/>
      <c r="AG59"/>
      <c r="AH59"/>
      <c r="AI59"/>
      <c r="AJ59"/>
      <c r="AK59"/>
      <c r="AL59"/>
      <c r="AM59"/>
      <c r="AN59"/>
      <c r="AO59"/>
      <c r="AP59"/>
      <c r="AQ59"/>
      <c r="AR59"/>
      <c r="AS59"/>
      <c r="AT59"/>
      <c r="AU59"/>
      <c r="AV59"/>
      <c r="AW59"/>
    </row>
    <row r="60" spans="1:49">
      <c r="A60"/>
      <c r="B60"/>
      <c r="C60"/>
      <c r="D60"/>
      <c r="E60"/>
      <c r="F60"/>
      <c r="G60"/>
      <c r="H60"/>
      <c r="I60"/>
      <c r="J60"/>
      <c r="K60"/>
      <c r="L60"/>
      <c r="M60"/>
      <c r="N60"/>
      <c r="O60"/>
      <c r="P60"/>
      <c r="Q60"/>
      <c r="R60"/>
      <c r="S60"/>
      <c r="T60"/>
      <c r="U60"/>
      <c r="V60"/>
      <c r="W60"/>
      <c r="X60"/>
      <c r="Y60"/>
      <c r="Z60"/>
      <c r="AA60"/>
      <c r="AB60"/>
      <c r="AC60"/>
      <c r="AD60"/>
      <c r="AE60"/>
      <c r="AF60"/>
      <c r="AG60"/>
      <c r="AH60"/>
      <c r="AI60"/>
      <c r="AJ60"/>
      <c r="AK60"/>
      <c r="AL60"/>
      <c r="AM60"/>
      <c r="AN60"/>
      <c r="AO60"/>
      <c r="AP60"/>
      <c r="AQ60"/>
      <c r="AR60"/>
      <c r="AS60"/>
      <c r="AT60"/>
      <c r="AU60"/>
      <c r="AV60"/>
      <c r="AW60"/>
    </row>
    <row r="61" spans="1:49">
      <c r="A61"/>
      <c r="B61"/>
      <c r="C61"/>
      <c r="D61"/>
      <c r="E61"/>
      <c r="F61"/>
      <c r="G61"/>
      <c r="H61"/>
      <c r="I61"/>
      <c r="J61"/>
      <c r="K61"/>
      <c r="L61"/>
      <c r="M61"/>
      <c r="N61"/>
      <c r="O61"/>
      <c r="P61"/>
      <c r="Q61"/>
      <c r="R61"/>
      <c r="S61"/>
      <c r="T61"/>
      <c r="U61"/>
      <c r="V61"/>
      <c r="W61"/>
      <c r="X61"/>
      <c r="Y61"/>
      <c r="Z61"/>
      <c r="AA61"/>
      <c r="AB61"/>
      <c r="AC61"/>
      <c r="AD61"/>
      <c r="AE61"/>
      <c r="AF61"/>
      <c r="AG61"/>
      <c r="AH61"/>
      <c r="AI61"/>
      <c r="AJ61"/>
      <c r="AK61"/>
      <c r="AL61"/>
      <c r="AM61"/>
      <c r="AN61"/>
      <c r="AO61"/>
      <c r="AP61"/>
      <c r="AQ61"/>
      <c r="AR61"/>
      <c r="AS61"/>
      <c r="AT61"/>
      <c r="AU61"/>
      <c r="AV61"/>
      <c r="AW61"/>
    </row>
    <row r="62" spans="1:49">
      <c r="A62"/>
      <c r="B62"/>
      <c r="C62"/>
      <c r="D62"/>
      <c r="E62"/>
      <c r="F62"/>
      <c r="G62"/>
      <c r="H62"/>
      <c r="I62"/>
      <c r="J62"/>
      <c r="K62"/>
      <c r="L62"/>
      <c r="M62"/>
      <c r="N62"/>
      <c r="O62"/>
      <c r="P62"/>
      <c r="Q62"/>
      <c r="R62"/>
      <c r="S62"/>
      <c r="T62"/>
      <c r="U62"/>
      <c r="V62"/>
      <c r="W62"/>
      <c r="X62"/>
      <c r="Y62"/>
      <c r="Z62"/>
      <c r="AA62"/>
      <c r="AB62"/>
      <c r="AC62"/>
      <c r="AD62"/>
      <c r="AE62"/>
      <c r="AF62"/>
      <c r="AG62"/>
      <c r="AH62"/>
      <c r="AI62"/>
      <c r="AJ62"/>
      <c r="AK62"/>
      <c r="AL62"/>
      <c r="AM62"/>
      <c r="AN62"/>
      <c r="AO62"/>
      <c r="AP62"/>
      <c r="AQ62"/>
      <c r="AR62"/>
      <c r="AS62"/>
      <c r="AT62"/>
      <c r="AU62"/>
      <c r="AV62"/>
      <c r="AW62"/>
    </row>
    <row r="63" spans="1:49">
      <c r="A63"/>
      <c r="B63"/>
      <c r="C63"/>
      <c r="D63"/>
      <c r="E63"/>
      <c r="F63"/>
      <c r="G63"/>
      <c r="H63"/>
      <c r="I63"/>
      <c r="J63"/>
      <c r="K63"/>
      <c r="L63"/>
      <c r="M63"/>
      <c r="N63"/>
      <c r="O63"/>
      <c r="P63"/>
      <c r="Q63"/>
      <c r="R63"/>
      <c r="S63"/>
      <c r="T63"/>
      <c r="U63"/>
      <c r="V63"/>
      <c r="W63"/>
      <c r="X63"/>
      <c r="Y63"/>
      <c r="Z63"/>
      <c r="AA63"/>
      <c r="AB63"/>
      <c r="AC63"/>
      <c r="AD63"/>
      <c r="AE63"/>
      <c r="AF63"/>
      <c r="AG63"/>
      <c r="AH63"/>
      <c r="AI63"/>
      <c r="AJ63"/>
      <c r="AK63"/>
      <c r="AL63"/>
      <c r="AM63"/>
      <c r="AN63"/>
      <c r="AO63"/>
      <c r="AP63"/>
      <c r="AQ63"/>
      <c r="AR63"/>
      <c r="AS63"/>
      <c r="AT63"/>
      <c r="AU63"/>
      <c r="AV63"/>
      <c r="AW63"/>
    </row>
    <row r="64" spans="1:49">
      <c r="A64"/>
      <c r="B64"/>
      <c r="C64"/>
      <c r="D64"/>
      <c r="E64"/>
      <c r="F64"/>
      <c r="G64"/>
      <c r="H64"/>
      <c r="I64"/>
      <c r="J64"/>
      <c r="K64"/>
      <c r="L64"/>
      <c r="M64"/>
      <c r="N64"/>
      <c r="O64"/>
      <c r="P64"/>
      <c r="Q64"/>
      <c r="R64"/>
      <c r="S64"/>
      <c r="T64"/>
      <c r="U64"/>
      <c r="V64"/>
      <c r="W64"/>
      <c r="X64"/>
      <c r="Y64"/>
      <c r="Z64"/>
      <c r="AA64"/>
      <c r="AB64"/>
      <c r="AC64"/>
      <c r="AD64"/>
      <c r="AE64"/>
      <c r="AF64"/>
      <c r="AG64"/>
      <c r="AH64"/>
      <c r="AI64"/>
      <c r="AJ64"/>
      <c r="AK64"/>
      <c r="AL64"/>
      <c r="AM64"/>
      <c r="AN64"/>
      <c r="AO64"/>
      <c r="AP64"/>
      <c r="AQ64"/>
      <c r="AR64"/>
      <c r="AS64"/>
      <c r="AT64"/>
      <c r="AU64"/>
      <c r="AV64"/>
      <c r="AW64"/>
    </row>
    <row r="65" spans="1:49">
      <c r="A65"/>
      <c r="B65"/>
      <c r="C65"/>
      <c r="D65"/>
      <c r="E65"/>
      <c r="F65"/>
      <c r="G65"/>
      <c r="H65"/>
      <c r="I65"/>
      <c r="J65"/>
      <c r="K65"/>
      <c r="L65"/>
      <c r="M65"/>
      <c r="N65"/>
      <c r="O65"/>
      <c r="P65"/>
      <c r="Q65"/>
      <c r="R65"/>
      <c r="S65"/>
      <c r="T65"/>
      <c r="U65"/>
      <c r="V65"/>
      <c r="W65"/>
      <c r="X65"/>
      <c r="Y65"/>
      <c r="Z65"/>
      <c r="AA65"/>
      <c r="AB65"/>
      <c r="AC65"/>
      <c r="AD65"/>
      <c r="AE65"/>
      <c r="AF65"/>
      <c r="AG65"/>
      <c r="AH65"/>
      <c r="AI65"/>
      <c r="AJ65"/>
      <c r="AK65"/>
      <c r="AL65"/>
      <c r="AM65"/>
      <c r="AN65"/>
      <c r="AO65"/>
      <c r="AP65"/>
      <c r="AQ65"/>
      <c r="AR65"/>
      <c r="AS65"/>
      <c r="AT65"/>
      <c r="AU65"/>
      <c r="AV65"/>
      <c r="AW65"/>
    </row>
    <row r="66" spans="1:49">
      <c r="A66"/>
      <c r="B66"/>
      <c r="C66"/>
      <c r="D66"/>
      <c r="E66"/>
      <c r="F66"/>
      <c r="G66"/>
      <c r="H66"/>
      <c r="I66"/>
      <c r="J66"/>
      <c r="K66"/>
      <c r="L66"/>
      <c r="M66"/>
      <c r="N66"/>
      <c r="O66"/>
      <c r="P66"/>
      <c r="Q66"/>
      <c r="R66"/>
      <c r="S66"/>
      <c r="T66"/>
      <c r="U66"/>
      <c r="V66"/>
      <c r="W66"/>
      <c r="X66"/>
      <c r="Y66"/>
      <c r="Z66"/>
      <c r="AA66"/>
      <c r="AB66"/>
      <c r="AC66"/>
      <c r="AD66"/>
      <c r="AE66"/>
      <c r="AF66"/>
      <c r="AG66"/>
      <c r="AH66"/>
      <c r="AI66"/>
      <c r="AJ66"/>
      <c r="AK66"/>
      <c r="AL66"/>
      <c r="AM66"/>
      <c r="AN66"/>
      <c r="AO66"/>
      <c r="AP66"/>
      <c r="AQ66"/>
      <c r="AR66"/>
      <c r="AS66"/>
      <c r="AT66"/>
      <c r="AU66"/>
      <c r="AV66"/>
      <c r="AW66"/>
    </row>
    <row r="67" spans="1:49">
      <c r="A67"/>
      <c r="B67"/>
      <c r="C67"/>
      <c r="D67"/>
      <c r="E67"/>
      <c r="F67"/>
      <c r="G67"/>
      <c r="H67"/>
      <c r="I67"/>
      <c r="J67"/>
      <c r="K67"/>
      <c r="L67"/>
      <c r="M67"/>
      <c r="N67"/>
      <c r="O67"/>
      <c r="P67"/>
      <c r="Q67"/>
      <c r="R67"/>
      <c r="S67"/>
      <c r="T67"/>
      <c r="U67"/>
      <c r="V67"/>
      <c r="W67"/>
      <c r="X67"/>
      <c r="Y67"/>
      <c r="Z67"/>
      <c r="AA67"/>
      <c r="AB67"/>
      <c r="AC67"/>
      <c r="AD67"/>
      <c r="AE67"/>
      <c r="AF67"/>
      <c r="AG67"/>
      <c r="AH67"/>
      <c r="AI67"/>
      <c r="AJ67"/>
      <c r="AK67"/>
      <c r="AL67"/>
      <c r="AM67"/>
      <c r="AN67"/>
      <c r="AO67"/>
      <c r="AP67"/>
      <c r="AQ67"/>
      <c r="AR67"/>
      <c r="AS67"/>
      <c r="AT67"/>
      <c r="AU67"/>
      <c r="AV67"/>
      <c r="AW67"/>
    </row>
    <row r="68" spans="1:49">
      <c r="A68"/>
      <c r="B68"/>
      <c r="C68"/>
      <c r="D68"/>
      <c r="E68"/>
      <c r="F68"/>
      <c r="G68"/>
      <c r="H68"/>
      <c r="I68"/>
      <c r="J68"/>
      <c r="K68"/>
      <c r="L68"/>
      <c r="M68"/>
      <c r="N68"/>
      <c r="O68"/>
      <c r="P68"/>
      <c r="Q68"/>
      <c r="R68"/>
      <c r="S68"/>
      <c r="T68"/>
      <c r="U68"/>
      <c r="V68"/>
      <c r="W68"/>
      <c r="X68"/>
      <c r="Y68"/>
      <c r="Z68"/>
      <c r="AA68"/>
      <c r="AB68"/>
      <c r="AC68"/>
      <c r="AD68"/>
      <c r="AE68"/>
      <c r="AF68"/>
      <c r="AG68"/>
      <c r="AH68"/>
      <c r="AI68"/>
      <c r="AJ68"/>
      <c r="AK68"/>
      <c r="AL68"/>
      <c r="AM68"/>
      <c r="AN68"/>
      <c r="AO68"/>
      <c r="AP68"/>
      <c r="AQ68"/>
      <c r="AR68"/>
      <c r="AS68"/>
      <c r="AT68"/>
      <c r="AU68"/>
      <c r="AV68"/>
      <c r="AW68"/>
    </row>
    <row r="69" spans="1:49">
      <c r="A69"/>
      <c r="B69"/>
      <c r="C69"/>
      <c r="D69"/>
      <c r="E69"/>
      <c r="F69"/>
      <c r="G69"/>
      <c r="H69"/>
      <c r="I69"/>
      <c r="J69"/>
      <c r="K69"/>
      <c r="L69"/>
      <c r="M69"/>
      <c r="N69"/>
      <c r="O69"/>
      <c r="P69"/>
      <c r="Q69"/>
      <c r="R69"/>
      <c r="S69"/>
      <c r="T69"/>
      <c r="U69"/>
      <c r="V69"/>
      <c r="W69"/>
      <c r="X69"/>
      <c r="Y69"/>
      <c r="Z69"/>
      <c r="AA69"/>
      <c r="AB69"/>
      <c r="AC69"/>
      <c r="AD69"/>
      <c r="AE69"/>
      <c r="AF69"/>
      <c r="AG69"/>
      <c r="AH69"/>
      <c r="AI69"/>
      <c r="AJ69"/>
      <c r="AK69"/>
      <c r="AL69"/>
      <c r="AM69"/>
      <c r="AN69"/>
      <c r="AO69"/>
      <c r="AP69"/>
      <c r="AQ69"/>
      <c r="AR69"/>
      <c r="AS69"/>
      <c r="AT69"/>
      <c r="AU69"/>
      <c r="AV69"/>
      <c r="AW69"/>
    </row>
  </sheetData>
  <sheetProtection sheet="1" scenarios="1" formatCells="0" formatColumns="0" formatRows="0"/>
  <pageMargins left="0.75" right="0.75" top="1" bottom="1" header="0.5" footer="0.5"/>
  <pageSetup paperSize="9" orientation="portrait" horizontalDpi="300" verticalDpi="300" copies="0" r:id="rId1"/>
  <headerFooter alignWithMargins="0"/>
  <customProperties>
    <customPr name="CellIDs" r:id="rId2"/>
    <customPr name="ConnName" r:id="rId3"/>
    <customPr name="ConnPOV" r:id="rId4"/>
    <customPr name="FormFolder" r:id="rId5"/>
    <customPr name="FormName" r:id="rId6"/>
    <customPr name="FormSize" r:id="rId7"/>
    <customPr name="HyperionPOVXML" r:id="rId8"/>
    <customPr name="HyperionXML" r:id="rId9"/>
    <customPr name="NameConnectionMap" r:id="rId10"/>
    <customPr name="POVPosition" r:id="rId11"/>
    <customPr name="SheetHasParityContent" r:id="rId12"/>
    <customPr name="SheetOptions" r:id="rId13"/>
    <customPr name="ShowPOV" r:id="rId14"/>
  </customPropertie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工作表</vt:lpstr>
      </vt:variant>
      <vt:variant>
        <vt:i4>6</vt:i4>
      </vt:variant>
      <vt:variant>
        <vt:lpstr>命名范围</vt:lpstr>
      </vt:variant>
      <vt:variant>
        <vt:i4>10</vt:i4>
      </vt:variant>
    </vt:vector>
  </HeadingPairs>
  <TitlesOfParts>
    <vt:vector size="16" baseType="lpstr">
      <vt:lpstr>目錄</vt:lpstr>
      <vt:lpstr>AP_Aging</vt:lpstr>
      <vt:lpstr>AP_Top 5</vt:lpstr>
      <vt:lpstr>AP_By Group</vt:lpstr>
      <vt:lpstr>AP_Breakdown</vt:lpstr>
      <vt:lpstr>關係人沖銷金額_本位幣</vt:lpstr>
      <vt:lpstr>conn</vt:lpstr>
      <vt:lpstr>PlugAccount</vt:lpstr>
      <vt:lpstr>USD換算成NTD的平均匯率</vt:lpstr>
      <vt:lpstr>USD換算成NTD的期末匯率</vt:lpstr>
      <vt:lpstr>大表科目本位幣調整AJE</vt:lpstr>
      <vt:lpstr>大表科目本位幣調整后</vt:lpstr>
      <vt:lpstr>大表科目本位幣調整前</vt:lpstr>
      <vt:lpstr>關係人按交易幣種分類本位幣金額</vt:lpstr>
      <vt:lpstr>換算成USD的平均匯率</vt:lpstr>
      <vt:lpstr>換算成USD的期末匯率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2015-06-05T18:19:34Z</dcterms:created>
  <dcterms:modified xsi:type="dcterms:W3CDTF">2019-05-09T07:36:14Z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SV_QUERY_LIST_4F35BF76-6C0D-4D9B-82B2-816C12CF3733">
    <vt:lpwstr>empty_477D106A-C0D6-4607-AEBD-E2C9D60EA279</vt:lpwstr>
  </property>
  <property fmtid="{D5CDD505-2E9C-101B-9397-08002B2CF9AE}" pid="3" name="SV_HIDDEN_GRID_QUERY_LIST_4F35BF76-6C0D-4D9B-82B2-816C12CF3733">
    <vt:lpwstr>empty_477D106A-C0D6-4607-AEBD-E2C9D60EA279</vt:lpwstr>
  </property>
</Properties>
</file>